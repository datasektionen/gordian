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bigd0g/Documents/Datasektionen/GOrdian/internal/web/static/budgets/"/>
    </mc:Choice>
  </mc:AlternateContent>
  <xr:revisionPtr revIDLastSave="0" documentId="13_ncr:1_{B36D888B-3FF2-D44E-BBD1-C2CE5397A19E}" xr6:coauthVersionLast="47" xr6:coauthVersionMax="47" xr10:uidLastSave="{00000000-0000-0000-0000-000000000000}"/>
  <bookViews>
    <workbookView xWindow="0" yWindow="680" windowWidth="34560" windowHeight="21660" firstSheet="22" activeTab="31" xr2:uid="{00000000-000D-0000-FFFF-FFFF00000000}"/>
  </bookViews>
  <sheets>
    <sheet name="Rambudget" sheetId="1" r:id="rId1"/>
    <sheet name="1 - Ada" sheetId="2" r:id="rId2"/>
    <sheet name="3 - Datasladden" sheetId="3" r:id="rId3"/>
    <sheet name="4 - D-Dagen" sheetId="4" r:id="rId4"/>
    <sheet name="5 - DEMON" sheetId="5" r:id="rId5"/>
    <sheet name="6 - DESC" sheetId="6" r:id="rId6"/>
    <sheet name="7 - D-Festeriet" sheetId="7" r:id="rId7"/>
    <sheet name="8 - dJulkalendern" sheetId="8" r:id="rId8"/>
    <sheet name="9 - DKM" sheetId="9" r:id="rId9"/>
    <sheet name="11 - GUDAR" sheetId="10" r:id="rId10"/>
    <sheet name="12 - Idrottsnämnden" sheetId="11" r:id="rId11"/>
    <sheet name="13 - IOR" sheetId="12" r:id="rId12"/>
    <sheet name="14 - IN" sheetId="13" r:id="rId13"/>
    <sheet name="15 - JN" sheetId="14" r:id="rId14"/>
    <sheet name="16 - Kommunikationsgruppen" sheetId="15" r:id="rId15"/>
    <sheet name="17 - MKM" sheetId="16" r:id="rId16"/>
    <sheet name="18 - Mottagningen" sheetId="17" r:id="rId17"/>
    <sheet name="19 - NLG" sheetId="18" r:id="rId18"/>
    <sheet name="20 - Prylmångleriet" sheetId="19" r:id="rId19"/>
    <sheet name="21 - QN" sheetId="20" r:id="rId20"/>
    <sheet name="22 - Redaqtionen" sheetId="21" r:id="rId21"/>
    <sheet name="24 - SLG" sheetId="22" r:id="rId22"/>
    <sheet name="25 - Studienämnden" sheetId="23" r:id="rId23"/>
    <sheet name="26 - Dive" sheetId="24" r:id="rId24"/>
    <sheet name="Datas DansRevolution" sheetId="25" r:id="rId25"/>
    <sheet name="103 - Studs 2025" sheetId="26" r:id="rId26"/>
    <sheet name="109 - METAspexet 2026" sheetId="27" r:id="rId27"/>
    <sheet name="111 - dÅre 2026" sheetId="28" r:id="rId28"/>
    <sheet name="METAcraft" sheetId="29" r:id="rId29"/>
    <sheet name="Bakverket" sheetId="30" r:id="rId30"/>
    <sheet name="Scala" sheetId="31" r:id="rId31"/>
    <sheet name="Tech-i-taka" sheetId="32" r:id="rId32"/>
    <sheet name="Vårbalen 2026" sheetId="33" r:id="rId33"/>
    <sheet name="201 - Centralt" sheetId="34" r:id="rId34"/>
    <sheet name="202 - Beslutspengar - Engångsko" sheetId="35" r:id="rId35"/>
    <sheet name="203 - dFunk" sheetId="36" r:id="rId36"/>
    <sheet name="204 - D-Rektoratet" sheetId="37" r:id="rId37"/>
    <sheet name="205 - Valberedningen" sheetId="38" r:id="rId38"/>
    <sheet name="206 - Revisorerna" sheetId="39" r:id="rId39"/>
    <sheet name="207 - Talmanspresidiet" sheetId="40" r:id="rId40"/>
    <sheet name="208 - Fanbärare" sheetId="41" r:id="rId41"/>
    <sheet name="209 - Kårfullmäktige" sheetId="42" r:id="rId42"/>
    <sheet name="210 - Organ" sheetId="43" r:id="rId43"/>
    <sheet name="211 - Partitioner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4" l="1"/>
  <c r="E8" i="44"/>
  <c r="F6" i="44"/>
  <c r="E6" i="44"/>
  <c r="G6" i="44" s="1"/>
  <c r="G8" i="44" s="1"/>
  <c r="F26" i="43"/>
  <c r="E26" i="43"/>
  <c r="G26" i="43" s="1"/>
  <c r="F21" i="43"/>
  <c r="E21" i="43"/>
  <c r="G21" i="43" s="1"/>
  <c r="F16" i="43"/>
  <c r="E16" i="43"/>
  <c r="G16" i="43" s="1"/>
  <c r="F11" i="43"/>
  <c r="F30" i="43" s="1"/>
  <c r="E11" i="43"/>
  <c r="G11" i="43" s="1"/>
  <c r="F6" i="43"/>
  <c r="E6" i="43"/>
  <c r="G6" i="43" s="1"/>
  <c r="F8" i="42"/>
  <c r="E8" i="42"/>
  <c r="G6" i="42"/>
  <c r="G8" i="42" s="1"/>
  <c r="F6" i="42"/>
  <c r="E6" i="42"/>
  <c r="F9" i="41"/>
  <c r="E9" i="41"/>
  <c r="F7" i="41"/>
  <c r="E7" i="41"/>
  <c r="G7" i="41" s="1"/>
  <c r="G9" i="41" s="1"/>
  <c r="E47" i="1" s="1"/>
  <c r="F9" i="40"/>
  <c r="E9" i="40"/>
  <c r="G7" i="40"/>
  <c r="G9" i="40" s="1"/>
  <c r="E50" i="1" s="1"/>
  <c r="F7" i="40"/>
  <c r="E7" i="40"/>
  <c r="F8" i="39"/>
  <c r="E8" i="39"/>
  <c r="G6" i="39"/>
  <c r="G8" i="39" s="1"/>
  <c r="F6" i="39"/>
  <c r="E6" i="39"/>
  <c r="G24" i="38"/>
  <c r="F24" i="38"/>
  <c r="E24" i="38"/>
  <c r="F19" i="38"/>
  <c r="E19" i="38"/>
  <c r="G19" i="38" s="1"/>
  <c r="F14" i="38"/>
  <c r="E14" i="38"/>
  <c r="G14" i="38" s="1"/>
  <c r="F6" i="38"/>
  <c r="F26" i="38" s="1"/>
  <c r="D30" i="1" s="1"/>
  <c r="E6" i="38"/>
  <c r="G6" i="38" s="1"/>
  <c r="F40" i="37"/>
  <c r="E40" i="37"/>
  <c r="G40" i="37" s="1"/>
  <c r="F31" i="37"/>
  <c r="E31" i="37"/>
  <c r="G31" i="37" s="1"/>
  <c r="F24" i="37"/>
  <c r="E24" i="37"/>
  <c r="G24" i="37" s="1"/>
  <c r="F17" i="37"/>
  <c r="E17" i="37"/>
  <c r="G17" i="37" s="1"/>
  <c r="F9" i="37"/>
  <c r="F43" i="37" s="1"/>
  <c r="D15" i="1" s="1"/>
  <c r="E9" i="37"/>
  <c r="E43" i="37" s="1"/>
  <c r="C15" i="1" s="1"/>
  <c r="E27" i="36"/>
  <c r="F25" i="36"/>
  <c r="F19" i="36"/>
  <c r="G19" i="36" s="1"/>
  <c r="E19" i="36"/>
  <c r="G14" i="36"/>
  <c r="F14" i="36"/>
  <c r="E14" i="36"/>
  <c r="F9" i="36"/>
  <c r="G9" i="36" s="1"/>
  <c r="E9" i="36"/>
  <c r="E24" i="35"/>
  <c r="G22" i="35"/>
  <c r="F22" i="35"/>
  <c r="F24" i="35" s="1"/>
  <c r="D45" i="1" s="1"/>
  <c r="E22" i="35"/>
  <c r="G17" i="35"/>
  <c r="G24" i="35" s="1"/>
  <c r="F17" i="35"/>
  <c r="E17" i="35"/>
  <c r="F35" i="34"/>
  <c r="F33" i="34"/>
  <c r="E33" i="34"/>
  <c r="G33" i="34" s="1"/>
  <c r="G26" i="34"/>
  <c r="F26" i="34"/>
  <c r="E26" i="34"/>
  <c r="F19" i="34"/>
  <c r="E5" i="34"/>
  <c r="E19" i="34" s="1"/>
  <c r="F40" i="33"/>
  <c r="E40" i="33"/>
  <c r="G40" i="33" s="1"/>
  <c r="G33" i="33"/>
  <c r="F33" i="33"/>
  <c r="E33" i="33"/>
  <c r="G24" i="33"/>
  <c r="F24" i="33"/>
  <c r="E24" i="33"/>
  <c r="G9" i="33"/>
  <c r="F9" i="33"/>
  <c r="F42" i="33" s="1"/>
  <c r="D39" i="1" s="1"/>
  <c r="E9" i="33"/>
  <c r="E42" i="33" s="1"/>
  <c r="F19" i="32"/>
  <c r="E19" i="32"/>
  <c r="G17" i="32"/>
  <c r="G19" i="32" s="1"/>
  <c r="E53" i="1" s="1"/>
  <c r="F17" i="32"/>
  <c r="E17" i="32"/>
  <c r="G9" i="32"/>
  <c r="F9" i="32"/>
  <c r="E9" i="32"/>
  <c r="F7" i="31"/>
  <c r="F9" i="31" s="1"/>
  <c r="D54" i="1" s="1"/>
  <c r="E7" i="31"/>
  <c r="E9" i="31" s="1"/>
  <c r="C54" i="1" s="1"/>
  <c r="G13" i="30"/>
  <c r="F13" i="30"/>
  <c r="E13" i="30"/>
  <c r="G11" i="30"/>
  <c r="F11" i="30"/>
  <c r="E11" i="30"/>
  <c r="F9" i="29"/>
  <c r="F7" i="29"/>
  <c r="E7" i="29"/>
  <c r="E9" i="29" s="1"/>
  <c r="C52" i="1" s="1"/>
  <c r="G22" i="28"/>
  <c r="F22" i="28"/>
  <c r="E22" i="28"/>
  <c r="F10" i="28"/>
  <c r="F24" i="28" s="1"/>
  <c r="E6" i="28"/>
  <c r="E10" i="28" s="1"/>
  <c r="F137" i="27"/>
  <c r="G137" i="27" s="1"/>
  <c r="E137" i="27"/>
  <c r="F125" i="27"/>
  <c r="E125" i="27"/>
  <c r="G125" i="27" s="1"/>
  <c r="G112" i="27"/>
  <c r="F112" i="27"/>
  <c r="E112" i="27"/>
  <c r="F99" i="27"/>
  <c r="E99" i="27"/>
  <c r="G99" i="27" s="1"/>
  <c r="F86" i="27"/>
  <c r="G86" i="27" s="1"/>
  <c r="E86" i="27"/>
  <c r="F79" i="27"/>
  <c r="E79" i="27"/>
  <c r="G79" i="27" s="1"/>
  <c r="G74" i="27"/>
  <c r="F74" i="27"/>
  <c r="E74" i="27"/>
  <c r="F67" i="27"/>
  <c r="F139" i="27" s="1"/>
  <c r="D37" i="1" s="1"/>
  <c r="E67" i="27"/>
  <c r="G67" i="27" s="1"/>
  <c r="F61" i="27"/>
  <c r="G59" i="27"/>
  <c r="G58" i="27"/>
  <c r="G57" i="27"/>
  <c r="G56" i="27"/>
  <c r="G55" i="27"/>
  <c r="G54" i="27"/>
  <c r="E53" i="27"/>
  <c r="G53" i="27" s="1"/>
  <c r="G52" i="27"/>
  <c r="E51" i="27"/>
  <c r="G51" i="27" s="1"/>
  <c r="G48" i="27"/>
  <c r="F48" i="27"/>
  <c r="E48" i="27"/>
  <c r="G42" i="27"/>
  <c r="F42" i="27"/>
  <c r="E42" i="27"/>
  <c r="F34" i="27"/>
  <c r="E34" i="27"/>
  <c r="G29" i="27"/>
  <c r="F29" i="27"/>
  <c r="E29" i="27"/>
  <c r="G20" i="27"/>
  <c r="F20" i="27"/>
  <c r="E20" i="27"/>
  <c r="G9" i="27"/>
  <c r="F9" i="27"/>
  <c r="E9" i="27"/>
  <c r="G47" i="26"/>
  <c r="F47" i="26"/>
  <c r="E47" i="26"/>
  <c r="G39" i="26"/>
  <c r="F39" i="26"/>
  <c r="E39" i="26"/>
  <c r="G34" i="26"/>
  <c r="F34" i="26"/>
  <c r="E34" i="26"/>
  <c r="F27" i="26"/>
  <c r="F49" i="26" s="1"/>
  <c r="D36" i="1" s="1"/>
  <c r="E27" i="26"/>
  <c r="E49" i="26" s="1"/>
  <c r="G19" i="26"/>
  <c r="F19" i="26"/>
  <c r="E19" i="26"/>
  <c r="G9" i="26"/>
  <c r="F9" i="26"/>
  <c r="E9" i="26"/>
  <c r="F8" i="25"/>
  <c r="F6" i="25"/>
  <c r="E6" i="25"/>
  <c r="E8" i="25" s="1"/>
  <c r="E20" i="24"/>
  <c r="G18" i="24"/>
  <c r="F18" i="24"/>
  <c r="E18" i="24"/>
  <c r="G11" i="24"/>
  <c r="G20" i="24" s="1"/>
  <c r="F11" i="24"/>
  <c r="F20" i="24" s="1"/>
  <c r="D31" i="1" s="1"/>
  <c r="E11" i="24"/>
  <c r="F19" i="23"/>
  <c r="E19" i="23"/>
  <c r="G19" i="23" s="1"/>
  <c r="E29" i="1" s="1"/>
  <c r="G17" i="23"/>
  <c r="F17" i="23"/>
  <c r="E17" i="23"/>
  <c r="G7" i="23"/>
  <c r="F7" i="23"/>
  <c r="E7" i="23"/>
  <c r="F60" i="22"/>
  <c r="E60" i="22"/>
  <c r="G60" i="22" s="1"/>
  <c r="G51" i="22"/>
  <c r="F51" i="22"/>
  <c r="E51" i="22"/>
  <c r="G39" i="22"/>
  <c r="F39" i="22"/>
  <c r="E39" i="22"/>
  <c r="G34" i="22"/>
  <c r="F34" i="22"/>
  <c r="F62" i="22" s="1"/>
  <c r="D28" i="1" s="1"/>
  <c r="E34" i="22"/>
  <c r="F29" i="22"/>
  <c r="E29" i="22"/>
  <c r="E62" i="22" s="1"/>
  <c r="G23" i="22"/>
  <c r="F23" i="22"/>
  <c r="E23" i="22"/>
  <c r="G14" i="22"/>
  <c r="F14" i="22"/>
  <c r="E14" i="22"/>
  <c r="F18" i="21"/>
  <c r="F16" i="21"/>
  <c r="E16" i="21"/>
  <c r="E18" i="21" s="1"/>
  <c r="C27" i="1" s="1"/>
  <c r="G8" i="21"/>
  <c r="F8" i="21"/>
  <c r="E8" i="21"/>
  <c r="G8" i="20"/>
  <c r="G10" i="20" s="1"/>
  <c r="E26" i="1" s="1"/>
  <c r="F8" i="20"/>
  <c r="F10" i="20" s="1"/>
  <c r="D26" i="1" s="1"/>
  <c r="E8" i="20"/>
  <c r="E10" i="20" s="1"/>
  <c r="C26" i="1" s="1"/>
  <c r="F22" i="19"/>
  <c r="E22" i="19"/>
  <c r="G20" i="19"/>
  <c r="F20" i="19"/>
  <c r="E20" i="19"/>
  <c r="F14" i="19"/>
  <c r="E14" i="19"/>
  <c r="G14" i="19" s="1"/>
  <c r="G22" i="19" s="1"/>
  <c r="E25" i="1" s="1"/>
  <c r="F49" i="18"/>
  <c r="E49" i="18"/>
  <c r="E51" i="18" s="1"/>
  <c r="G42" i="18"/>
  <c r="F42" i="18"/>
  <c r="E42" i="18"/>
  <c r="E37" i="18"/>
  <c r="E36" i="18"/>
  <c r="F33" i="18"/>
  <c r="E33" i="18"/>
  <c r="G33" i="18" s="1"/>
  <c r="G28" i="18"/>
  <c r="F28" i="18"/>
  <c r="E28" i="18"/>
  <c r="G22" i="18"/>
  <c r="F22" i="18"/>
  <c r="E22" i="18"/>
  <c r="G16" i="18"/>
  <c r="F16" i="18"/>
  <c r="E16" i="18"/>
  <c r="F8" i="18"/>
  <c r="F51" i="18" s="1"/>
  <c r="D24" i="1" s="1"/>
  <c r="E8" i="18"/>
  <c r="G8" i="18" s="1"/>
  <c r="G526" i="17"/>
  <c r="F526" i="17"/>
  <c r="E526" i="17"/>
  <c r="E521" i="17"/>
  <c r="F506" i="17"/>
  <c r="F521" i="17" s="1"/>
  <c r="G521" i="17" s="1"/>
  <c r="G502" i="17"/>
  <c r="F502" i="17"/>
  <c r="E502" i="17"/>
  <c r="G495" i="17"/>
  <c r="F495" i="17"/>
  <c r="E495" i="17"/>
  <c r="G485" i="17"/>
  <c r="F485" i="17"/>
  <c r="E485" i="17"/>
  <c r="F479" i="17"/>
  <c r="E479" i="17"/>
  <c r="G479" i="17" s="1"/>
  <c r="G468" i="17"/>
  <c r="F468" i="17"/>
  <c r="E468" i="17"/>
  <c r="G461" i="17"/>
  <c r="F461" i="17"/>
  <c r="E461" i="17"/>
  <c r="G453" i="17"/>
  <c r="F453" i="17"/>
  <c r="E453" i="17"/>
  <c r="F448" i="17"/>
  <c r="E448" i="17"/>
  <c r="G448" i="17" s="1"/>
  <c r="G443" i="17"/>
  <c r="F443" i="17"/>
  <c r="E443" i="17"/>
  <c r="G428" i="17"/>
  <c r="F428" i="17"/>
  <c r="E428" i="17"/>
  <c r="G414" i="17"/>
  <c r="F414" i="17"/>
  <c r="E414" i="17"/>
  <c r="F404" i="17"/>
  <c r="E404" i="17"/>
  <c r="G404" i="17" s="1"/>
  <c r="G393" i="17"/>
  <c r="F393" i="17"/>
  <c r="E393" i="17"/>
  <c r="G383" i="17"/>
  <c r="F383" i="17"/>
  <c r="E383" i="17"/>
  <c r="G370" i="17"/>
  <c r="F370" i="17"/>
  <c r="E370" i="17"/>
  <c r="F364" i="17"/>
  <c r="E364" i="17"/>
  <c r="G364" i="17" s="1"/>
  <c r="G355" i="17"/>
  <c r="F355" i="17"/>
  <c r="E355" i="17"/>
  <c r="G344" i="17"/>
  <c r="F344" i="17"/>
  <c r="E344" i="17"/>
  <c r="G338" i="17"/>
  <c r="F338" i="17"/>
  <c r="E338" i="17"/>
  <c r="F330" i="17"/>
  <c r="E330" i="17"/>
  <c r="G330" i="17" s="1"/>
  <c r="G319" i="17"/>
  <c r="F319" i="17"/>
  <c r="E319" i="17"/>
  <c r="G310" i="17"/>
  <c r="F310" i="17"/>
  <c r="E310" i="17"/>
  <c r="G302" i="17"/>
  <c r="F302" i="17"/>
  <c r="E302" i="17"/>
  <c r="F292" i="17"/>
  <c r="E292" i="17"/>
  <c r="G292" i="17" s="1"/>
  <c r="G283" i="17"/>
  <c r="F283" i="17"/>
  <c r="E283" i="17"/>
  <c r="G277" i="17"/>
  <c r="F277" i="17"/>
  <c r="E277" i="17"/>
  <c r="G266" i="17"/>
  <c r="F266" i="17"/>
  <c r="E266" i="17"/>
  <c r="F258" i="17"/>
  <c r="E258" i="17"/>
  <c r="G258" i="17" s="1"/>
  <c r="G247" i="17"/>
  <c r="F247" i="17"/>
  <c r="E247" i="17"/>
  <c r="G238" i="17"/>
  <c r="F238" i="17"/>
  <c r="E238" i="17"/>
  <c r="G233" i="17"/>
  <c r="F233" i="17"/>
  <c r="E233" i="17"/>
  <c r="F223" i="17"/>
  <c r="E223" i="17"/>
  <c r="G223" i="17" s="1"/>
  <c r="G214" i="17"/>
  <c r="F214" i="17"/>
  <c r="E214" i="17"/>
  <c r="G208" i="17"/>
  <c r="F208" i="17"/>
  <c r="E208" i="17"/>
  <c r="G201" i="17"/>
  <c r="F201" i="17"/>
  <c r="E201" i="17"/>
  <c r="F191" i="17"/>
  <c r="E191" i="17"/>
  <c r="G191" i="17" s="1"/>
  <c r="G186" i="17"/>
  <c r="F186" i="17"/>
  <c r="E186" i="17"/>
  <c r="G180" i="17"/>
  <c r="F180" i="17"/>
  <c r="E180" i="17"/>
  <c r="F169" i="17"/>
  <c r="F162" i="17"/>
  <c r="G162" i="17" s="1"/>
  <c r="E162" i="17"/>
  <c r="E151" i="17"/>
  <c r="G151" i="17" s="1"/>
  <c r="F137" i="17"/>
  <c r="F151" i="17" s="1"/>
  <c r="F130" i="17"/>
  <c r="E130" i="17"/>
  <c r="G130" i="17" s="1"/>
  <c r="G123" i="17"/>
  <c r="F123" i="17"/>
  <c r="E123" i="17"/>
  <c r="G116" i="17"/>
  <c r="F116" i="17"/>
  <c r="E116" i="17"/>
  <c r="F109" i="17"/>
  <c r="E109" i="17"/>
  <c r="G109" i="17" s="1"/>
  <c r="F104" i="17"/>
  <c r="F528" i="17" s="1"/>
  <c r="D23" i="1" s="1"/>
  <c r="E104" i="17"/>
  <c r="G104" i="17" s="1"/>
  <c r="G98" i="17"/>
  <c r="F98" i="17"/>
  <c r="E98" i="17"/>
  <c r="F93" i="17"/>
  <c r="F90" i="17"/>
  <c r="E90" i="17"/>
  <c r="G90" i="17" s="1"/>
  <c r="G81" i="17"/>
  <c r="F81" i="17"/>
  <c r="E81" i="17"/>
  <c r="G74" i="17"/>
  <c r="F74" i="17"/>
  <c r="E74" i="17"/>
  <c r="G66" i="17"/>
  <c r="F66" i="17"/>
  <c r="E66" i="17"/>
  <c r="F59" i="17"/>
  <c r="E59" i="17"/>
  <c r="G59" i="17" s="1"/>
  <c r="G52" i="17"/>
  <c r="F52" i="17"/>
  <c r="E52" i="17"/>
  <c r="G43" i="17"/>
  <c r="F43" i="17"/>
  <c r="E43" i="17"/>
  <c r="G34" i="17"/>
  <c r="F34" i="17"/>
  <c r="E34" i="17"/>
  <c r="F26" i="17"/>
  <c r="E26" i="17"/>
  <c r="G26" i="17" s="1"/>
  <c r="G12" i="17"/>
  <c r="F12" i="17"/>
  <c r="E12" i="17"/>
  <c r="G7" i="17"/>
  <c r="F7" i="17"/>
  <c r="E7" i="17"/>
  <c r="E528" i="17" s="1"/>
  <c r="F53" i="16"/>
  <c r="E53" i="16"/>
  <c r="G53" i="16" s="1"/>
  <c r="G47" i="16"/>
  <c r="F47" i="16"/>
  <c r="E47" i="16"/>
  <c r="G36" i="16"/>
  <c r="F36" i="16"/>
  <c r="E36" i="16"/>
  <c r="G26" i="16"/>
  <c r="F26" i="16"/>
  <c r="E26" i="16"/>
  <c r="E55" i="16" s="1"/>
  <c r="F16" i="16"/>
  <c r="F55" i="16" s="1"/>
  <c r="D22" i="1" s="1"/>
  <c r="E16" i="16"/>
  <c r="G16" i="16" s="1"/>
  <c r="G8" i="15"/>
  <c r="G10" i="15" s="1"/>
  <c r="E21" i="1" s="1"/>
  <c r="F8" i="15"/>
  <c r="F10" i="15" s="1"/>
  <c r="D21" i="1" s="1"/>
  <c r="E8" i="15"/>
  <c r="E10" i="15" s="1"/>
  <c r="C21" i="1" s="1"/>
  <c r="F18" i="14"/>
  <c r="E18" i="14"/>
  <c r="G18" i="14" s="1"/>
  <c r="F12" i="14"/>
  <c r="E12" i="14"/>
  <c r="G12" i="14" s="1"/>
  <c r="G7" i="14"/>
  <c r="G20" i="14" s="1"/>
  <c r="E20" i="1" s="1"/>
  <c r="F7" i="14"/>
  <c r="F20" i="14" s="1"/>
  <c r="D20" i="1" s="1"/>
  <c r="E7" i="14"/>
  <c r="E20" i="14" s="1"/>
  <c r="F80" i="13"/>
  <c r="E80" i="13"/>
  <c r="G80" i="13" s="1"/>
  <c r="F71" i="13"/>
  <c r="E71" i="13"/>
  <c r="G71" i="13" s="1"/>
  <c r="G59" i="13"/>
  <c r="F59" i="13"/>
  <c r="E59" i="13"/>
  <c r="G47" i="13"/>
  <c r="F47" i="13"/>
  <c r="E47" i="13"/>
  <c r="F36" i="13"/>
  <c r="E36" i="13"/>
  <c r="G36" i="13" s="1"/>
  <c r="F24" i="13"/>
  <c r="E24" i="13"/>
  <c r="G24" i="13" s="1"/>
  <c r="G16" i="13"/>
  <c r="F16" i="13"/>
  <c r="E16" i="13"/>
  <c r="G11" i="13"/>
  <c r="F11" i="13"/>
  <c r="F82" i="13" s="1"/>
  <c r="D19" i="1" s="1"/>
  <c r="E11" i="13"/>
  <c r="E82" i="13" s="1"/>
  <c r="C19" i="1" s="1"/>
  <c r="F15" i="12"/>
  <c r="E15" i="12"/>
  <c r="G15" i="12" s="1"/>
  <c r="G9" i="12"/>
  <c r="G17" i="12" s="1"/>
  <c r="E18" i="1" s="1"/>
  <c r="F9" i="12"/>
  <c r="F17" i="12" s="1"/>
  <c r="D18" i="1" s="1"/>
  <c r="E9" i="12"/>
  <c r="E17" i="12" s="1"/>
  <c r="C18" i="1" s="1"/>
  <c r="F12" i="11"/>
  <c r="E12" i="11"/>
  <c r="F10" i="11"/>
  <c r="E10" i="11"/>
  <c r="G10" i="11" s="1"/>
  <c r="G12" i="11" s="1"/>
  <c r="E17" i="1" s="1"/>
  <c r="E19" i="10"/>
  <c r="G17" i="10"/>
  <c r="F17" i="10"/>
  <c r="E17" i="10"/>
  <c r="F11" i="10"/>
  <c r="F19" i="10" s="1"/>
  <c r="D16" i="1" s="1"/>
  <c r="E11" i="10"/>
  <c r="G11" i="10" s="1"/>
  <c r="F6" i="10"/>
  <c r="E6" i="10"/>
  <c r="G6" i="10" s="1"/>
  <c r="G139" i="9"/>
  <c r="F139" i="9"/>
  <c r="E139" i="9"/>
  <c r="F132" i="9"/>
  <c r="G132" i="9" s="1"/>
  <c r="E132" i="9"/>
  <c r="F123" i="9"/>
  <c r="E123" i="9"/>
  <c r="G123" i="9" s="1"/>
  <c r="F115" i="9"/>
  <c r="E115" i="9"/>
  <c r="G115" i="9" s="1"/>
  <c r="G105" i="9"/>
  <c r="F105" i="9"/>
  <c r="E105" i="9"/>
  <c r="F94" i="9"/>
  <c r="G94" i="9" s="1"/>
  <c r="E94" i="9"/>
  <c r="F83" i="9"/>
  <c r="E83" i="9"/>
  <c r="G83" i="9" s="1"/>
  <c r="F71" i="9"/>
  <c r="E71" i="9"/>
  <c r="G71" i="9" s="1"/>
  <c r="G60" i="9"/>
  <c r="F60" i="9"/>
  <c r="E60" i="9"/>
  <c r="F51" i="9"/>
  <c r="G51" i="9" s="1"/>
  <c r="E51" i="9"/>
  <c r="F44" i="9"/>
  <c r="E44" i="9"/>
  <c r="G44" i="9" s="1"/>
  <c r="F37" i="9"/>
  <c r="E37" i="9"/>
  <c r="G37" i="9" s="1"/>
  <c r="G27" i="9"/>
  <c r="F27" i="9"/>
  <c r="E27" i="9"/>
  <c r="F20" i="9"/>
  <c r="G20" i="9" s="1"/>
  <c r="E20" i="9"/>
  <c r="F12" i="9"/>
  <c r="E12" i="9"/>
  <c r="G12" i="9" s="1"/>
  <c r="F18" i="8"/>
  <c r="E18" i="8"/>
  <c r="E20" i="8" s="1"/>
  <c r="F9" i="8"/>
  <c r="G9" i="8" s="1"/>
  <c r="E9" i="8"/>
  <c r="F111" i="7"/>
  <c r="E111" i="7"/>
  <c r="G111" i="7" s="1"/>
  <c r="F101" i="7"/>
  <c r="E101" i="7"/>
  <c r="G101" i="7" s="1"/>
  <c r="F86" i="7"/>
  <c r="G86" i="7" s="1"/>
  <c r="E86" i="7"/>
  <c r="F76" i="7"/>
  <c r="E76" i="7"/>
  <c r="G76" i="7" s="1"/>
  <c r="F66" i="7"/>
  <c r="E66" i="7"/>
  <c r="G66" i="7" s="1"/>
  <c r="F54" i="7"/>
  <c r="E54" i="7"/>
  <c r="G54" i="7" s="1"/>
  <c r="F42" i="7"/>
  <c r="G42" i="7" s="1"/>
  <c r="E42" i="7"/>
  <c r="F30" i="7"/>
  <c r="E30" i="7"/>
  <c r="G30" i="7" s="1"/>
  <c r="F23" i="7"/>
  <c r="E23" i="7"/>
  <c r="G23" i="7" s="1"/>
  <c r="F16" i="7"/>
  <c r="E16" i="7"/>
  <c r="E113" i="7" s="1"/>
  <c r="C12" i="1" s="1"/>
  <c r="F13" i="7"/>
  <c r="F29" i="6"/>
  <c r="E29" i="6"/>
  <c r="G29" i="6" s="1"/>
  <c r="F21" i="6"/>
  <c r="E21" i="6"/>
  <c r="G21" i="6" s="1"/>
  <c r="G31" i="6" s="1"/>
  <c r="E11" i="1" s="1"/>
  <c r="F11" i="6"/>
  <c r="E11" i="6"/>
  <c r="G11" i="6" s="1"/>
  <c r="G6" i="6"/>
  <c r="F6" i="6"/>
  <c r="F31" i="6" s="1"/>
  <c r="D11" i="1" s="1"/>
  <c r="E6" i="6"/>
  <c r="E31" i="6" s="1"/>
  <c r="C11" i="1" s="1"/>
  <c r="F7" i="5"/>
  <c r="F9" i="5" s="1"/>
  <c r="D10" i="1" s="1"/>
  <c r="E7" i="5"/>
  <c r="E9" i="5" s="1"/>
  <c r="C10" i="1" s="1"/>
  <c r="F5" i="5"/>
  <c r="F82" i="4"/>
  <c r="F90" i="4" s="1"/>
  <c r="E81" i="4"/>
  <c r="E90" i="4" s="1"/>
  <c r="G90" i="4" s="1"/>
  <c r="F78" i="4"/>
  <c r="E78" i="4"/>
  <c r="G78" i="4" s="1"/>
  <c r="F68" i="4"/>
  <c r="E68" i="4"/>
  <c r="G68" i="4" s="1"/>
  <c r="G56" i="4"/>
  <c r="F56" i="4"/>
  <c r="E56" i="4"/>
  <c r="F45" i="4"/>
  <c r="E45" i="4"/>
  <c r="G45" i="4" s="1"/>
  <c r="F23" i="4"/>
  <c r="E23" i="4"/>
  <c r="G23" i="4" s="1"/>
  <c r="F11" i="4"/>
  <c r="F92" i="4" s="1"/>
  <c r="D9" i="1" s="1"/>
  <c r="E11" i="4"/>
  <c r="G11" i="4" s="1"/>
  <c r="G92" i="4" s="1"/>
  <c r="E9" i="1" s="1"/>
  <c r="F23" i="3"/>
  <c r="E23" i="3"/>
  <c r="G23" i="3" s="1"/>
  <c r="F14" i="3"/>
  <c r="E14" i="3"/>
  <c r="G14" i="3" s="1"/>
  <c r="F8" i="3"/>
  <c r="F25" i="3" s="1"/>
  <c r="D8" i="1" s="1"/>
  <c r="E8" i="3"/>
  <c r="G8" i="3" s="1"/>
  <c r="F38" i="2"/>
  <c r="E38" i="2"/>
  <c r="G38" i="2" s="1"/>
  <c r="F26" i="2"/>
  <c r="E26" i="2"/>
  <c r="G26" i="2" s="1"/>
  <c r="F15" i="2"/>
  <c r="E15" i="2"/>
  <c r="G15" i="2" s="1"/>
  <c r="G7" i="2"/>
  <c r="G40" i="2" s="1"/>
  <c r="E7" i="1" s="1"/>
  <c r="F7" i="2"/>
  <c r="F40" i="2" s="1"/>
  <c r="E7" i="2"/>
  <c r="E55" i="1"/>
  <c r="D55" i="1"/>
  <c r="C55" i="1"/>
  <c r="D53" i="1"/>
  <c r="C53" i="1"/>
  <c r="D52" i="1"/>
  <c r="D50" i="1"/>
  <c r="C50" i="1"/>
  <c r="E49" i="1"/>
  <c r="D49" i="1"/>
  <c r="C49" i="1"/>
  <c r="E48" i="1"/>
  <c r="D48" i="1"/>
  <c r="C48" i="1"/>
  <c r="D47" i="1"/>
  <c r="C47" i="1"/>
  <c r="C46" i="1"/>
  <c r="E45" i="1"/>
  <c r="C45" i="1"/>
  <c r="D44" i="1"/>
  <c r="C39" i="1"/>
  <c r="D38" i="1"/>
  <c r="E31" i="1"/>
  <c r="C31" i="1"/>
  <c r="D29" i="1"/>
  <c r="C29" i="1"/>
  <c r="C28" i="1"/>
  <c r="D27" i="1"/>
  <c r="D25" i="1"/>
  <c r="C25" i="1"/>
  <c r="C24" i="1"/>
  <c r="C20" i="1"/>
  <c r="D17" i="1"/>
  <c r="C17" i="1"/>
  <c r="C16" i="1"/>
  <c r="D13" i="1"/>
  <c r="C13" i="1"/>
  <c r="D7" i="1"/>
  <c r="E92" i="4" l="1"/>
  <c r="C9" i="1" s="1"/>
  <c r="G27" i="36"/>
  <c r="E46" i="1" s="1"/>
  <c r="C23" i="1"/>
  <c r="G528" i="17"/>
  <c r="E23" i="1" s="1"/>
  <c r="C36" i="1"/>
  <c r="G49" i="26"/>
  <c r="E36" i="1" s="1"/>
  <c r="G20" i="8"/>
  <c r="G19" i="10"/>
  <c r="E16" i="1" s="1"/>
  <c r="G55" i="16"/>
  <c r="E22" i="1" s="1"/>
  <c r="C22" i="1"/>
  <c r="D41" i="1"/>
  <c r="E40" i="2"/>
  <c r="C7" i="1" s="1"/>
  <c r="F113" i="7"/>
  <c r="D12" i="1" s="1"/>
  <c r="G141" i="9"/>
  <c r="E14" i="1" s="1"/>
  <c r="C38" i="1"/>
  <c r="G8" i="25"/>
  <c r="E38" i="1" s="1"/>
  <c r="G26" i="38"/>
  <c r="E30" i="1" s="1"/>
  <c r="G82" i="13"/>
  <c r="E19" i="1" s="1"/>
  <c r="G19" i="34"/>
  <c r="G35" i="34" s="1"/>
  <c r="E44" i="1" s="1"/>
  <c r="E35" i="34"/>
  <c r="C44" i="1" s="1"/>
  <c r="C57" i="1" s="1"/>
  <c r="D57" i="1"/>
  <c r="E24" i="28"/>
  <c r="G24" i="28" s="1"/>
  <c r="G10" i="28"/>
  <c r="G42" i="33"/>
  <c r="E39" i="1" s="1"/>
  <c r="G16" i="7"/>
  <c r="G113" i="7" s="1"/>
  <c r="E12" i="1" s="1"/>
  <c r="G18" i="8"/>
  <c r="E13" i="1" s="1"/>
  <c r="G49" i="18"/>
  <c r="G51" i="18" s="1"/>
  <c r="E24" i="1" s="1"/>
  <c r="G16" i="21"/>
  <c r="G18" i="21" s="1"/>
  <c r="E27" i="1" s="1"/>
  <c r="G29" i="22"/>
  <c r="G62" i="22" s="1"/>
  <c r="E28" i="1" s="1"/>
  <c r="G6" i="25"/>
  <c r="G27" i="26"/>
  <c r="G34" i="27"/>
  <c r="G7" i="29"/>
  <c r="G9" i="29" s="1"/>
  <c r="E52" i="1" s="1"/>
  <c r="G7" i="31"/>
  <c r="G9" i="31" s="1"/>
  <c r="E54" i="1" s="1"/>
  <c r="F27" i="36"/>
  <c r="D46" i="1" s="1"/>
  <c r="F20" i="8"/>
  <c r="F141" i="9"/>
  <c r="D14" i="1" s="1"/>
  <c r="D33" i="1" s="1"/>
  <c r="D59" i="1" s="1"/>
  <c r="E30" i="43"/>
  <c r="G30" i="43" s="1"/>
  <c r="G9" i="37"/>
  <c r="G43" i="37" s="1"/>
  <c r="E15" i="1" s="1"/>
  <c r="E141" i="9"/>
  <c r="C14" i="1" s="1"/>
  <c r="G7" i="5"/>
  <c r="G9" i="5" s="1"/>
  <c r="E10" i="1" s="1"/>
  <c r="E25" i="3"/>
  <c r="E61" i="27"/>
  <c r="G61" i="27" s="1"/>
  <c r="E26" i="38"/>
  <c r="C30" i="1" s="1"/>
  <c r="C8" i="1" l="1"/>
  <c r="G25" i="3"/>
  <c r="E8" i="1" s="1"/>
  <c r="E33" i="1" s="1"/>
  <c r="E57" i="1"/>
  <c r="C33" i="1"/>
  <c r="E139" i="27"/>
  <c r="G139" i="27" l="1"/>
  <c r="E37" i="1" s="1"/>
  <c r="E41" i="1" s="1"/>
  <c r="C37" i="1"/>
  <c r="C41" i="1" s="1"/>
  <c r="C59" i="1" s="1"/>
  <c r="E59" i="1"/>
</calcChain>
</file>

<file path=xl/sharedStrings.xml><?xml version="1.0" encoding="utf-8"?>
<sst xmlns="http://schemas.openxmlformats.org/spreadsheetml/2006/main" count="2368" uniqueCount="866">
  <si>
    <t>Konglig Datasektionen Budget 2025</t>
  </si>
  <si>
    <t>Budget 2025</t>
  </si>
  <si>
    <t>Kommentarer</t>
  </si>
  <si>
    <t>Flikindex</t>
  </si>
  <si>
    <t>Resultatställe</t>
  </si>
  <si>
    <t>Intäkter</t>
  </si>
  <si>
    <t>Utgifter</t>
  </si>
  <si>
    <t>Resultat</t>
  </si>
  <si>
    <t>Nämnder</t>
  </si>
  <si>
    <t>Ada</t>
  </si>
  <si>
    <t>Event ökad och uppdelad, sittningar standardiserade</t>
  </si>
  <si>
    <t>Datasladden</t>
  </si>
  <si>
    <t>Luskostnader verklighetsjusterade</t>
  </si>
  <si>
    <t>D-Dagen</t>
  </si>
  <si>
    <t>Småfix, Max Berglund löser resten till Glögg-SM</t>
  </si>
  <si>
    <t>DEMON</t>
  </si>
  <si>
    <t>Oförändrad från 2024, Eynar Ason Eklöfs motion &amp; motionssvar löser</t>
  </si>
  <si>
    <t>DESC</t>
  </si>
  <si>
    <t>LAN-Event budget förbättrad, Allmänt konsoliderad</t>
  </si>
  <si>
    <t>D-Festeriet</t>
  </si>
  <si>
    <t>dFunkteambuilding återvandrad, sittningsstandardisering</t>
  </si>
  <si>
    <t>dJulkalendern</t>
  </si>
  <si>
    <t>Typ oförändrad, Jonathan Almgren s motion &amp; motionssvar löser</t>
  </si>
  <si>
    <t>DKM</t>
  </si>
  <si>
    <t>Flera justeringar, se detaljbudget</t>
  </si>
  <si>
    <t>D-Rektoratet</t>
  </si>
  <si>
    <t>Alumnpraxis D-wreck. Städning av Allmänt</t>
  </si>
  <si>
    <t>GUDAR</t>
  </si>
  <si>
    <t>Retro &amp; 1983 dog</t>
  </si>
  <si>
    <t>Idrottsnämnden</t>
  </si>
  <si>
    <t>Gruppering av event &amp; Tech-i-taka långsiktighet</t>
  </si>
  <si>
    <t>IOR</t>
  </si>
  <si>
    <t>Fix TB och uppdelning av gigaposten</t>
  </si>
  <si>
    <t>IN</t>
  </si>
  <si>
    <t>Split Event, 4 Gasques instead of 2, standardized</t>
  </si>
  <si>
    <t>JN</t>
  </si>
  <si>
    <t xml:space="preserve">Split event, profilkläder bort </t>
  </si>
  <si>
    <t>Kommunikationsgruppen</t>
  </si>
  <si>
    <t>MKM</t>
  </si>
  <si>
    <t>Mottagningsgasque split &amp; verklighetsjustering Verksamhet</t>
  </si>
  <si>
    <t>Mottagningen</t>
  </si>
  <si>
    <t>Tom, motion &amp; motionssvar löser</t>
  </si>
  <si>
    <t>NLG</t>
  </si>
  <si>
    <t>Prissänkning företagspub, småsaker</t>
  </si>
  <si>
    <t>Prylmångleriet</t>
  </si>
  <si>
    <t>QN</t>
  </si>
  <si>
    <t>Redaqtionen</t>
  </si>
  <si>
    <t>SLG</t>
  </si>
  <si>
    <t>Studienämnden</t>
  </si>
  <si>
    <t>Valberedningen</t>
  </si>
  <si>
    <t>Dive</t>
  </si>
  <si>
    <t>Total Nämnder</t>
  </si>
  <si>
    <t>Projekt</t>
  </si>
  <si>
    <t>Studs 2025</t>
  </si>
  <si>
    <t>METAspexet 2026</t>
  </si>
  <si>
    <t>Datas DansRevolution</t>
  </si>
  <si>
    <t>Vårbalen 2026</t>
  </si>
  <si>
    <t>Total Projekt</t>
  </si>
  <si>
    <t>Övrigt</t>
  </si>
  <si>
    <t>Centralt</t>
  </si>
  <si>
    <t>Beslutspengar - Engångskostnader</t>
  </si>
  <si>
    <t>dFunk</t>
  </si>
  <si>
    <t>Fanbärare</t>
  </si>
  <si>
    <t>Kårfullmäktige</t>
  </si>
  <si>
    <t>Revisorerna</t>
  </si>
  <si>
    <t>Talmanspresidiet</t>
  </si>
  <si>
    <t>METAcraft</t>
  </si>
  <si>
    <t>Tech-i-taka</t>
  </si>
  <si>
    <t>Scala</t>
  </si>
  <si>
    <t>Bakverket</t>
  </si>
  <si>
    <t>Total Övrigt</t>
  </si>
  <si>
    <t>Total Total</t>
  </si>
  <si>
    <t>Sekundärtresultatställe</t>
  </si>
  <si>
    <t>Budgetpost</t>
  </si>
  <si>
    <t>Konto</t>
  </si>
  <si>
    <t>Balans</t>
  </si>
  <si>
    <t>Nämnd</t>
  </si>
  <si>
    <t>Allmänt</t>
  </si>
  <si>
    <t>Eventfika</t>
  </si>
  <si>
    <t>Pyssel</t>
  </si>
  <si>
    <t>Subsubtotal</t>
  </si>
  <si>
    <t>Internt</t>
  </si>
  <si>
    <t>Teambuilding</t>
  </si>
  <si>
    <t>Fika</t>
  </si>
  <si>
    <t>Försäljning profilkläder</t>
  </si>
  <si>
    <t>Inköp profilkläder</t>
  </si>
  <si>
    <t>Vårsittning</t>
  </si>
  <si>
    <t>Standardiserad</t>
  </si>
  <si>
    <t>Biljetter</t>
  </si>
  <si>
    <t>3041, 3042</t>
  </si>
  <si>
    <t>190 Alk, 145 Alkfri</t>
  </si>
  <si>
    <t>Sittningsdryck</t>
  </si>
  <si>
    <t>3021-3025</t>
  </si>
  <si>
    <t>Räknat på 40 pers, 25% alkfri</t>
  </si>
  <si>
    <t>Mat</t>
  </si>
  <si>
    <t>60kr per person</t>
  </si>
  <si>
    <t>Dekoration</t>
  </si>
  <si>
    <t>Personalvård</t>
  </si>
  <si>
    <t>Engångsartiklar</t>
  </si>
  <si>
    <t>Märken</t>
  </si>
  <si>
    <t>Höstsittning</t>
  </si>
  <si>
    <t>Kökshyra</t>
  </si>
  <si>
    <t>Subtotal</t>
  </si>
  <si>
    <t>Godis</t>
  </si>
  <si>
    <t>Kraschmedaljer</t>
  </si>
  <si>
    <t>Tillbehör</t>
  </si>
  <si>
    <t>Bil</t>
  </si>
  <si>
    <t>Drivmedel</t>
  </si>
  <si>
    <t>Skatt &amp; Försäkring</t>
  </si>
  <si>
    <t>14k försäkring, 4k fordonsskatt</t>
  </si>
  <si>
    <t>Sammanslagen, samma bokföringskonto + ingen bryr sig</t>
  </si>
  <si>
    <t>Trängselskatt</t>
  </si>
  <si>
    <t>Skurubron &amp; trängselskatt</t>
  </si>
  <si>
    <t>Splittad från skatter</t>
  </si>
  <si>
    <t>Parkering</t>
  </si>
  <si>
    <t>21k Campus, resten ströparkeringar</t>
  </si>
  <si>
    <t>Underhåll av bil</t>
  </si>
  <si>
    <t>Arbetskläder - Flugor+näsdukar</t>
  </si>
  <si>
    <t>Med 15% rabatt</t>
  </si>
  <si>
    <t>Arbetskläder - Tröjor</t>
  </si>
  <si>
    <t>Teambuilding - Personal</t>
  </si>
  <si>
    <t>170kr/person (150st dagspersonal och 27st Projektgrupp)</t>
  </si>
  <si>
    <t>Lunchföreläsningar</t>
  </si>
  <si>
    <t>37 000kr/lunchföreläsning</t>
  </si>
  <si>
    <t>Mat för lunchföreläsningar</t>
  </si>
  <si>
    <t>13 000kr/lunchföreläsning, räknat 4st med Huvudspons</t>
  </si>
  <si>
    <t>After Works Extern</t>
  </si>
  <si>
    <t>After Works för studenter</t>
  </si>
  <si>
    <t>600kr/person</t>
  </si>
  <si>
    <t>Mat - Stormöten</t>
  </si>
  <si>
    <t>130kr/person/möte (27st personer och 4st möten)</t>
  </si>
  <si>
    <t>Medaljer</t>
  </si>
  <si>
    <t>Profilkläder</t>
  </si>
  <si>
    <t>1 000kr/person</t>
  </si>
  <si>
    <t>Representation &amp; inspiration</t>
  </si>
  <si>
    <t>Besöka andra mässor (Göteborg, Lund, Linköping, Luleå). 1000kr/person/resa. 3st olika resor.</t>
  </si>
  <si>
    <t>Alumnevent</t>
  </si>
  <si>
    <t>Teambuilding - Projektgrupp</t>
  </si>
  <si>
    <t>Licenser</t>
  </si>
  <si>
    <t>Adobe</t>
  </si>
  <si>
    <t>Mässan</t>
  </si>
  <si>
    <t>Huvudsponsor</t>
  </si>
  <si>
    <t>Lilla paketet</t>
  </si>
  <si>
    <t>35 000kr/paket (72st)</t>
  </si>
  <si>
    <t>Mellanpaketet</t>
  </si>
  <si>
    <t>47 000kr/paket (20st)</t>
  </si>
  <si>
    <t>Stora paketet</t>
  </si>
  <si>
    <t>59 000kr/paket (6st)</t>
  </si>
  <si>
    <t>Startup-paketet</t>
  </si>
  <si>
    <t>10 000kr/paket (3st)</t>
  </si>
  <si>
    <t>Extra beställningar</t>
  </si>
  <si>
    <t>Lokalhyra</t>
  </si>
  <si>
    <t>312 500kr för Nymble och 38 000kr Kårbokhandeln. Detta är priser vi fick från dem 2024, vi förväntar oss prishöjning 2025.</t>
  </si>
  <si>
    <t>Inhyrt material</t>
  </si>
  <si>
    <t>Hyrbil</t>
  </si>
  <si>
    <t>Sophantering</t>
  </si>
  <si>
    <t>Marknadsföring - Tryck</t>
  </si>
  <si>
    <t>Marknadsföring - Fika</t>
  </si>
  <si>
    <t>Marknadsföring - Digital</t>
  </si>
  <si>
    <t>Goodiebags</t>
  </si>
  <si>
    <t>68kr/påse</t>
  </si>
  <si>
    <t>Catering</t>
  </si>
  <si>
    <t>218kr/person för frukost och lunch för 600 personer. Sedan kaffe och fika för företag.</t>
  </si>
  <si>
    <t>För Preppdagen, Mässdagen och Slasquedagen</t>
  </si>
  <si>
    <t>Brandutbildning</t>
  </si>
  <si>
    <t>Sittning &amp; Efterkör</t>
  </si>
  <si>
    <t>Biljettintäkter - Sittningen</t>
  </si>
  <si>
    <t>Utrustning</t>
  </si>
  <si>
    <t>Personalkostnad</t>
  </si>
  <si>
    <t>Barbongar</t>
  </si>
  <si>
    <t>Tacksittningen</t>
  </si>
  <si>
    <t>40kr/person alkfri, 75 kr/person alkohol</t>
  </si>
  <si>
    <t>Inköp mat</t>
  </si>
  <si>
    <t>60kr/person</t>
  </si>
  <si>
    <t>40 pers, 15% alkfri</t>
  </si>
  <si>
    <t>Barkit</t>
  </si>
  <si>
    <t>Rekryteringspuben</t>
  </si>
  <si>
    <t>Försäljning mat</t>
  </si>
  <si>
    <t>Jubileumsittning</t>
  </si>
  <si>
    <t>4021-4025</t>
  </si>
  <si>
    <t>Repfika</t>
  </si>
  <si>
    <t>Replokal</t>
  </si>
  <si>
    <t>Spel &amp; Speltillbehör</t>
  </si>
  <si>
    <t>Sammanslagen</t>
  </si>
  <si>
    <t>Event</t>
  </si>
  <si>
    <t>BIG justering pga. minussumman borde tas ur TB</t>
  </si>
  <si>
    <t>Priser</t>
  </si>
  <si>
    <t>Symboliska priser</t>
  </si>
  <si>
    <t xml:space="preserve">Lokalhyra </t>
  </si>
  <si>
    <t>1 dag i Nya Matsalen, höftat. För en hel CCLAN kanske vi tar med någon till sektion som kan dela på kostnaderna</t>
  </si>
  <si>
    <t>Tryck</t>
  </si>
  <si>
    <t>Snacks</t>
  </si>
  <si>
    <t>Sånt som inte ersätter måltid</t>
  </si>
  <si>
    <t>Sånt som ersätter måltid</t>
  </si>
  <si>
    <t>Oförändrad pga glömde fråga :skull:</t>
  </si>
  <si>
    <t>Hosting</t>
  </si>
  <si>
    <t>Bytt namn från event</t>
  </si>
  <si>
    <t>EECS-Gasquen</t>
  </si>
  <si>
    <t>EECS-Bidrag andra sektioner</t>
  </si>
  <si>
    <t>0 kr</t>
  </si>
  <si>
    <t>EECS-bidrag från andra sektioner (vi fakturerar)</t>
  </si>
  <si>
    <t>Höjd 4k för Ø-budget</t>
  </si>
  <si>
    <t>200 x 200 = 40000, ser väldigt möjligt ut att sänka biljettkostnad</t>
  </si>
  <si>
    <t>Går potentiellt att få ner, vi bollar vissa idéer</t>
  </si>
  <si>
    <t>9500 kr hyra för nya matsalen + hyllan per THS. 2 kök x 2 pass + 2 x 1 pass. 200kr per kök per pass blir 1200. 9500 + 1200 = 10700</t>
  </si>
  <si>
    <t>50 x 200 = 10000, Schysst käk</t>
  </si>
  <si>
    <t>15 x 200 = 3000</t>
  </si>
  <si>
    <t>P-vård</t>
  </si>
  <si>
    <t>1000 totalt</t>
  </si>
  <si>
    <t>~100 x 200 = 20000</t>
  </si>
  <si>
    <t>SA</t>
  </si>
  <si>
    <t>225 per timme, 17-01</t>
  </si>
  <si>
    <t>Teknik</t>
  </si>
  <si>
    <t>Glömdes sist</t>
  </si>
  <si>
    <t>Arbetskläder</t>
  </si>
  <si>
    <t>T- shirts, opersonliga</t>
  </si>
  <si>
    <t>Evenemang</t>
  </si>
  <si>
    <t>Katastrof borttagen</t>
  </si>
  <si>
    <t>Införd av kassör</t>
  </si>
  <si>
    <t>Nyårsskiftes</t>
  </si>
  <si>
    <t>155Alk 110 Alkfri</t>
  </si>
  <si>
    <t>60 sittande</t>
  </si>
  <si>
    <t>40kr pp</t>
  </si>
  <si>
    <t>Skiftes (sommar)</t>
  </si>
  <si>
    <t>Sångledarens sittning</t>
  </si>
  <si>
    <t>175 alk, 130 alkfri</t>
  </si>
  <si>
    <t>60kr pp</t>
  </si>
  <si>
    <t>Halvtidsfest</t>
  </si>
  <si>
    <t>Höjd från 6 300 kr</t>
  </si>
  <si>
    <t>Sänkt från -3 000 kr</t>
  </si>
  <si>
    <t>Sänkt från -2 500 kr</t>
  </si>
  <si>
    <t>Sänkt från -600 kr</t>
  </si>
  <si>
    <t>Ny post</t>
  </si>
  <si>
    <t>Heltidsfest</t>
  </si>
  <si>
    <t>Höjd från 8 100 kr</t>
  </si>
  <si>
    <t>Detaljbudgetändrades: flyttade 400kr till Inköp Mat</t>
  </si>
  <si>
    <t>Sänkt från -4 000 kr till -3600</t>
  </si>
  <si>
    <t>DMCA</t>
  </si>
  <si>
    <t>Biljettförsäljning</t>
  </si>
  <si>
    <t>Försäljning tävlingsdryck</t>
  </si>
  <si>
    <t>Inköp tävlingsdryck</t>
  </si>
  <si>
    <t>Inköp sittningsdricka</t>
  </si>
  <si>
    <t>Sittningsmat</t>
  </si>
  <si>
    <t>Lunchmat</t>
  </si>
  <si>
    <t>Inköp Capshanddukar</t>
  </si>
  <si>
    <t>Försäljning Capshanddukar</t>
  </si>
  <si>
    <t>German gasque</t>
  </si>
  <si>
    <t>Spons</t>
  </si>
  <si>
    <t>dJulmärken</t>
  </si>
  <si>
    <t>dHöstmärken</t>
  </si>
  <si>
    <t>dAnkor</t>
  </si>
  <si>
    <t>Utbildning</t>
  </si>
  <si>
    <t>7610</t>
  </si>
  <si>
    <t>Förbrukningsinventarier</t>
  </si>
  <si>
    <t>5410</t>
  </si>
  <si>
    <t>Förbrukningsmaterial</t>
  </si>
  <si>
    <t>5460</t>
  </si>
  <si>
    <t>Marknadsföring</t>
  </si>
  <si>
    <t>3051-3053</t>
  </si>
  <si>
    <t>KMR-avgift</t>
  </si>
  <si>
    <t>6900</t>
  </si>
  <si>
    <t>Tillstånd</t>
  </si>
  <si>
    <t>6950</t>
  </si>
  <si>
    <t>Representation</t>
  </si>
  <si>
    <t>6072</t>
  </si>
  <si>
    <t>Verksamhet</t>
  </si>
  <si>
    <t>Försäljning dryck (exkl. MacAllan)</t>
  </si>
  <si>
    <t>Inköp dryck</t>
  </si>
  <si>
    <t>Inköp barkit</t>
  </si>
  <si>
    <t>Vanliga pubbar &amp; efterkör utan fippeldrinkar</t>
  </si>
  <si>
    <t>Onsdagspubar</t>
  </si>
  <si>
    <t>DJ</t>
  </si>
  <si>
    <t>Tentapub 1 (P1)</t>
  </si>
  <si>
    <t>Tentapub 2 (P3)</t>
  </si>
  <si>
    <t>Blums</t>
  </si>
  <si>
    <t>Biljetter &amp; bongar</t>
  </si>
  <si>
    <t>Arrangemang</t>
  </si>
  <si>
    <t>Enorm sammanslagning</t>
  </si>
  <si>
    <t>Tryck posters</t>
  </si>
  <si>
    <t>Pris turnering</t>
  </si>
  <si>
    <t>Reclaim</t>
  </si>
  <si>
    <t>140 Alk, 95 Alkfri</t>
  </si>
  <si>
    <t>120 sittande, 20% alkfri</t>
  </si>
  <si>
    <t>Djulmiddag</t>
  </si>
  <si>
    <t>70 pers * 250/200 för att bara gå back 12kkr</t>
  </si>
  <si>
    <t>Specialos för att dyr mat</t>
  </si>
  <si>
    <t>Sittningsdricka</t>
  </si>
  <si>
    <t>Mästeristsittning</t>
  </si>
  <si>
    <t>160 alk, 115 fri. 80 sittande, 5% alkfri</t>
  </si>
  <si>
    <t>Klubbmästarmiddag</t>
  </si>
  <si>
    <t>5 * 170 student, 15 * 280 alumn</t>
  </si>
  <si>
    <t>Inbjudningar</t>
  </si>
  <si>
    <t>Specialingredienser &amp; sånt</t>
  </si>
  <si>
    <t>Cliffmiddag</t>
  </si>
  <si>
    <t>Sommarosqvik</t>
  </si>
  <si>
    <t>VPR</t>
  </si>
  <si>
    <t>Ordningsvakt</t>
  </si>
  <si>
    <t>DKM Tycker det är najs</t>
  </si>
  <si>
    <t>PPP</t>
  </si>
  <si>
    <t>Mellanstation &amp; META</t>
  </si>
  <si>
    <t>Kontorsmaterial</t>
  </si>
  <si>
    <t>Historieföreläsning</t>
  </si>
  <si>
    <t>Dryck</t>
  </si>
  <si>
    <t>THS Friskvårdsbidrag</t>
  </si>
  <si>
    <t>Lokalhyra &amp; Entréavgifter</t>
  </si>
  <si>
    <t>Externt arrangerade arrangemang</t>
  </si>
  <si>
    <t>Kajak 15k, 20k Hockey, Resten valfritt</t>
  </si>
  <si>
    <t>Informationsorganet</t>
  </si>
  <si>
    <t>Inköp teknik</t>
  </si>
  <si>
    <t>Discord</t>
  </si>
  <si>
    <t>Webbkostnad</t>
  </si>
  <si>
    <t>Kameratillbehör</t>
  </si>
  <si>
    <t>Sänkt 1000 pga bak till andra event tas på deras budget</t>
  </si>
  <si>
    <t>Internationella nämnden</t>
  </si>
  <si>
    <t>Inköp märken</t>
  </si>
  <si>
    <t>Övriga prylar</t>
  </si>
  <si>
    <t>Mottagningssittning höst</t>
  </si>
  <si>
    <t>Mottagningssittning vår</t>
  </si>
  <si>
    <t>Nationella sittningen (1)</t>
  </si>
  <si>
    <t>Inte nationella sittningen (2)</t>
  </si>
  <si>
    <t>Osqvik</t>
  </si>
  <si>
    <t>Engångsprylar</t>
  </si>
  <si>
    <t>Ved</t>
  </si>
  <si>
    <t>Jämlikhetsnämnden</t>
  </si>
  <si>
    <t>Event splittad</t>
  </si>
  <si>
    <t>Dekoration &amp; Pyssel</t>
  </si>
  <si>
    <t>Alkohol &amp; alkoholfritt</t>
  </si>
  <si>
    <t>Justerad, bokföring 2023 var 250k</t>
  </si>
  <si>
    <t>Försäljning dryck</t>
  </si>
  <si>
    <t>Justerad efter bokföring 2023, var ish 400k</t>
  </si>
  <si>
    <t>Märken som säljs</t>
  </si>
  <si>
    <t>Justerad efter bokföring 2023</t>
  </si>
  <si>
    <t>Försäljning märken</t>
  </si>
  <si>
    <t>Inköp drinkingredienser</t>
  </si>
  <si>
    <t>Både pubbar och efterkör</t>
  </si>
  <si>
    <t>Namnbyte tydlighet</t>
  </si>
  <si>
    <t>Inköp mat pub</t>
  </si>
  <si>
    <t>Endast pubbar</t>
  </si>
  <si>
    <t>Försäljning mat pub</t>
  </si>
  <si>
    <t>Dekor pub</t>
  </si>
  <si>
    <t>4037, 5210</t>
  </si>
  <si>
    <t>Underhållning</t>
  </si>
  <si>
    <t>DJ och annat skoj för pubbar som inte är dekoration</t>
  </si>
  <si>
    <t>Fraktkostnader</t>
  </si>
  <si>
    <t>5710, 5410</t>
  </si>
  <si>
    <t>Frakt, lådor, pantbackar</t>
  </si>
  <si>
    <t>Festmästeriet</t>
  </si>
  <si>
    <t>Sittningsmärken</t>
  </si>
  <si>
    <t>Uppdelad</t>
  </si>
  <si>
    <t>Namnbyte från allmänt</t>
  </si>
  <si>
    <t>T.ex. shakers, glas, öltorn</t>
  </si>
  <si>
    <t>Batterier och annat slitmaterial</t>
  </si>
  <si>
    <t>Zettlekostnader</t>
  </si>
  <si>
    <t>Månads- och transaktionsavgift</t>
  </si>
  <si>
    <t>Bankkostnader borttaget</t>
  </si>
  <si>
    <t>Kortavgifter</t>
  </si>
  <si>
    <t>Ett debetkort</t>
  </si>
  <si>
    <t>Media fakturerar Data för personal på pubbar &amp; dyl</t>
  </si>
  <si>
    <t>4051, 4054</t>
  </si>
  <si>
    <t>Facebook, tryck etc...</t>
  </si>
  <si>
    <t>Fika intern grupp</t>
  </si>
  <si>
    <t>Fika, personalvård etc...</t>
  </si>
  <si>
    <t>Nollbudgeterat :-)</t>
  </si>
  <si>
    <t>Champagne-X</t>
  </si>
  <si>
    <t>Chillhäng</t>
  </si>
  <si>
    <t>Diverse teknik</t>
  </si>
  <si>
    <t>Förbrukningsmateriel</t>
  </si>
  <si>
    <t>Mörkläggning</t>
  </si>
  <si>
    <t>Representationsgåvor</t>
  </si>
  <si>
    <t>Örådsrestaurering</t>
  </si>
  <si>
    <t>Övriga programvaror</t>
  </si>
  <si>
    <t>Sjuk &amp; hälsovård</t>
  </si>
  <si>
    <t>Grafik</t>
  </si>
  <si>
    <t>Stickers</t>
  </si>
  <si>
    <t>Tygmärken</t>
  </si>
  <si>
    <t>Film &amp; Framkallning</t>
  </si>
  <si>
    <t>Titel</t>
  </si>
  <si>
    <t>Titeltillbehör</t>
  </si>
  <si>
    <t>Titelspex</t>
  </si>
  <si>
    <t>Möte med dFunkt</t>
  </si>
  <si>
    <t>D4M pub</t>
  </si>
  <si>
    <t>Dadderiet</t>
  </si>
  <si>
    <t>Daddetillbehör</t>
  </si>
  <si>
    <t>nØllegruppsskyltar</t>
  </si>
  <si>
    <t>Daddemys</t>
  </si>
  <si>
    <t>Doqumenteriet</t>
  </si>
  <si>
    <t>Doquistillbehör</t>
  </si>
  <si>
    <t>Doquismys</t>
  </si>
  <si>
    <t>FotoIntro</t>
  </si>
  <si>
    <t>Ekonomeriet</t>
  </si>
  <si>
    <t>EkomMys</t>
  </si>
  <si>
    <t>Ekonomeristfika</t>
  </si>
  <si>
    <t>Ekonomeristtillbehör</t>
  </si>
  <si>
    <t>EkomIntro</t>
  </si>
  <si>
    <t>Quisineriet</t>
  </si>
  <si>
    <t>QuisineMys</t>
  </si>
  <si>
    <t>Quisinetillbehör</t>
  </si>
  <si>
    <t>Köksutrustning</t>
  </si>
  <si>
    <t xml:space="preserve">INDA </t>
  </si>
  <si>
    <t>Aktivitet</t>
  </si>
  <si>
    <t>Mitch och Butch</t>
  </si>
  <si>
    <t>Kokosolja</t>
  </si>
  <si>
    <t>Spotify-licens</t>
  </si>
  <si>
    <t>Vaxningstillbehör</t>
  </si>
  <si>
    <t>Badbyxor</t>
  </si>
  <si>
    <t>Lunchföreläsning</t>
  </si>
  <si>
    <t>Spons - mat</t>
  </si>
  <si>
    <t>HTC</t>
  </si>
  <si>
    <t>Aktivitetsinköp</t>
  </si>
  <si>
    <t>Bärbaren</t>
  </si>
  <si>
    <t>Försäljning</t>
  </si>
  <si>
    <t>Inköp till försäljning</t>
  </si>
  <si>
    <t>BLB</t>
  </si>
  <si>
    <t>nØllepubrunda</t>
  </si>
  <si>
    <t xml:space="preserve">Inköp personalband </t>
  </si>
  <si>
    <t xml:space="preserve">Försäljning personalband </t>
  </si>
  <si>
    <t>nØllegasque</t>
  </si>
  <si>
    <t>Biljetter sittning</t>
  </si>
  <si>
    <t>Mackor</t>
  </si>
  <si>
    <t>Hyra maskiner</t>
  </si>
  <si>
    <t>Utklädnad GOD</t>
  </si>
  <si>
    <t>Nagellack</t>
  </si>
  <si>
    <t>Djäfvulsgrottan - Förbrukningsmateriel</t>
  </si>
  <si>
    <t>nØllan games - Dekoration</t>
  </si>
  <si>
    <t>nØllan games -Förbrukningsmaterial</t>
  </si>
  <si>
    <t>Personal</t>
  </si>
  <si>
    <t>TGT</t>
  </si>
  <si>
    <t>Personalen</t>
  </si>
  <si>
    <t>Foto</t>
  </si>
  <si>
    <t>Snuttefiltar</t>
  </si>
  <si>
    <t>Batterier</t>
  </si>
  <si>
    <t>Frukost</t>
  </si>
  <si>
    <t>Lunch - inköp</t>
  </si>
  <si>
    <t>Lunch - fakturering</t>
  </si>
  <si>
    <t>Kläder - Fakturering</t>
  </si>
  <si>
    <t>Kläder - Spons</t>
  </si>
  <si>
    <t>Kläder - Inköp</t>
  </si>
  <si>
    <t>Intervjufika</t>
  </si>
  <si>
    <t>Favvodaddemiddag I</t>
  </si>
  <si>
    <t>Resekostnader</t>
  </si>
  <si>
    <t>Favvodaddemiddag II</t>
  </si>
  <si>
    <t>Sittning med annan sektion</t>
  </si>
  <si>
    <t>Sittning - Dryck</t>
  </si>
  <si>
    <t>Genrepspub</t>
  </si>
  <si>
    <t>Korv - Inköp</t>
  </si>
  <si>
    <t>Korv - försäljning</t>
  </si>
  <si>
    <t>Godmorgon nØllan</t>
  </si>
  <si>
    <t>Tejp</t>
  </si>
  <si>
    <t>HelloWorld(nØllan)</t>
  </si>
  <si>
    <t>Hyra maskiner och leksaker</t>
  </si>
  <si>
    <t>Småsyskonfika</t>
  </si>
  <si>
    <t>Stationer</t>
  </si>
  <si>
    <t>Lunch</t>
  </si>
  <si>
    <t>Hjälpfesten</t>
  </si>
  <si>
    <t>Fördrink</t>
  </si>
  <si>
    <t>HTD</t>
  </si>
  <si>
    <t>Kräftis</t>
  </si>
  <si>
    <t>plOsqvik</t>
  </si>
  <si>
    <t>Försäljning biljetter</t>
  </si>
  <si>
    <t>Hurry Scurry</t>
  </si>
  <si>
    <t>Utklädnader</t>
  </si>
  <si>
    <t>Pub Deko</t>
  </si>
  <si>
    <t>Mörka sidan</t>
  </si>
  <si>
    <t>Drifvartillbehör</t>
  </si>
  <si>
    <t>Entréprylar</t>
  </si>
  <si>
    <t>Pärmar &amp; sångböcker</t>
  </si>
  <si>
    <t>Fika drifvarträningar</t>
  </si>
  <si>
    <t>Mat första entrén</t>
  </si>
  <si>
    <t>Phösarlokal</t>
  </si>
  <si>
    <t>Drifvarmys</t>
  </si>
  <si>
    <t>Karaokepub</t>
  </si>
  <si>
    <t>Deko</t>
  </si>
  <si>
    <t>Gäris och ickebinäris sittning</t>
  </si>
  <si>
    <t>KDE</t>
  </si>
  <si>
    <t>Aktivitet och deko</t>
  </si>
  <si>
    <t>Kultmiddag</t>
  </si>
  <si>
    <t>Bil- och släphyra</t>
  </si>
  <si>
    <t>Laserkrig</t>
  </si>
  <si>
    <t>LQ</t>
  </si>
  <si>
    <t>Korv - Försäljning</t>
  </si>
  <si>
    <t>Byggmaterial</t>
  </si>
  <si>
    <t>Lunchrejv</t>
  </si>
  <si>
    <t>Hyra maskin &amp; teknik</t>
  </si>
  <si>
    <t>Morgonbowling</t>
  </si>
  <si>
    <t>Biljettintäkter</t>
  </si>
  <si>
    <t>Internfest</t>
  </si>
  <si>
    <t>Dryck - sittning</t>
  </si>
  <si>
    <t>Sektionsgasque</t>
  </si>
  <si>
    <t>Personalpub jourveckan</t>
  </si>
  <si>
    <t>Inköp - Mat</t>
  </si>
  <si>
    <t>Försäljning - Mat</t>
  </si>
  <si>
    <t>Mottagningstack</t>
  </si>
  <si>
    <t>Köksplats</t>
  </si>
  <si>
    <t>Pusharpub</t>
  </si>
  <si>
    <t>Mat - inköp</t>
  </si>
  <si>
    <t>Mat - försäljning</t>
  </si>
  <si>
    <t>Nattorientering</t>
  </si>
  <si>
    <t>Toast - försäljning</t>
  </si>
  <si>
    <t>Toast - inköp</t>
  </si>
  <si>
    <t>Nattkäk</t>
  </si>
  <si>
    <t>NBF</t>
  </si>
  <si>
    <t>Dryck - Sittning</t>
  </si>
  <si>
    <t>nØllebanquette</t>
  </si>
  <si>
    <t>Biljetter andra sektioner</t>
  </si>
  <si>
    <t>Live-underhållning</t>
  </si>
  <si>
    <t>Hyra porslin</t>
  </si>
  <si>
    <t>Personal RN</t>
  </si>
  <si>
    <t>Nymble personal</t>
  </si>
  <si>
    <t>Garderob</t>
  </si>
  <si>
    <t>nØlleOsqvik</t>
  </si>
  <si>
    <t>Nattgrillning</t>
  </si>
  <si>
    <t>Hyra teknik</t>
  </si>
  <si>
    <t>Sångarafton</t>
  </si>
  <si>
    <t>Gäris- och Icke-binärisfiika</t>
  </si>
  <si>
    <t>Tjoqumenteristlunch</t>
  </si>
  <si>
    <t>TTG-föreläsning</t>
  </si>
  <si>
    <t>TTG-laboration</t>
  </si>
  <si>
    <t>Mat sittning</t>
  </si>
  <si>
    <t>Dryck - inköp</t>
  </si>
  <si>
    <t>Xning</t>
  </si>
  <si>
    <t>Inköp Biljetter</t>
  </si>
  <si>
    <t>Dadderiet-sittning</t>
  </si>
  <si>
    <t>nØllan</t>
  </si>
  <si>
    <t>nØllekit</t>
  </si>
  <si>
    <t>nØllekortsmaterial</t>
  </si>
  <si>
    <t>nØllekort-spons</t>
  </si>
  <si>
    <t>Ettans fest</t>
  </si>
  <si>
    <t>Inköp dryck - efterkör</t>
  </si>
  <si>
    <t>Försäljning dryck - efterkör</t>
  </si>
  <si>
    <t>Liveframträdande</t>
  </si>
  <si>
    <t>Porslin, Bestick &amp; dukar</t>
  </si>
  <si>
    <t>Vett och Etikett</t>
  </si>
  <si>
    <t>Rekvisita</t>
  </si>
  <si>
    <t>Näringslivsgruppen</t>
  </si>
  <si>
    <t>Inköp marknadsföring</t>
  </si>
  <si>
    <t>Adobe CC, LinkedIn Premium &amp; Lime. Vaska Lime om D-Dagen inte kommer igång</t>
  </si>
  <si>
    <t>Kortavgift</t>
  </si>
  <si>
    <t>Det ska hållas 2 event för att få gå back 5k totalt</t>
  </si>
  <si>
    <t>Annonsering</t>
  </si>
  <si>
    <t>Försäljning marknadsföring</t>
  </si>
  <si>
    <t>Budgeterat för 15</t>
  </si>
  <si>
    <t>Boost för företagsinlägg</t>
  </si>
  <si>
    <t>Övrigt event</t>
  </si>
  <si>
    <t>FöretagsAW etc...</t>
  </si>
  <si>
    <t>Företagspub</t>
  </si>
  <si>
    <t>Uppdaterad prissänkning</t>
  </si>
  <si>
    <t>Baspaket</t>
  </si>
  <si>
    <t>2891*, 3693</t>
  </si>
  <si>
    <t>Dryck barbongar</t>
  </si>
  <si>
    <t>2891*</t>
  </si>
  <si>
    <t>Tryckkostnader</t>
  </si>
  <si>
    <t>Försäljning Overaller</t>
  </si>
  <si>
    <t>Försäljning Prylis</t>
  </si>
  <si>
    <t>Försäljning kläder</t>
  </si>
  <si>
    <t>Inköp kläder</t>
  </si>
  <si>
    <t>Inköp Overaller</t>
  </si>
  <si>
    <t>Inköp Prylis</t>
  </si>
  <si>
    <t>Fraktavgifter</t>
  </si>
  <si>
    <t>Spons för overaller</t>
  </si>
  <si>
    <t>Räknar konservativt</t>
  </si>
  <si>
    <t xml:space="preserve"> Eventfika</t>
  </si>
  <si>
    <t>Qulturnämnden</t>
  </si>
  <si>
    <t>Inköp av Qultur</t>
  </si>
  <si>
    <t>Försäljning tidningar</t>
  </si>
  <si>
    <t>Tryckkostnad</t>
  </si>
  <si>
    <t>Frakt till andra lärosäten</t>
  </si>
  <si>
    <t>Sektionslokalsgruppen</t>
  </si>
  <si>
    <t>Försäljning läskkyl</t>
  </si>
  <si>
    <t>Inköp läskkyl</t>
  </si>
  <si>
    <t>METAdryck</t>
  </si>
  <si>
    <t>Inköp förbrukningsmateriel</t>
  </si>
  <si>
    <t>Inköp förbrukningsinventarier</t>
  </si>
  <si>
    <t>Reparationer</t>
  </si>
  <si>
    <t>Städmaterial</t>
  </si>
  <si>
    <t>Medicinska artiklar</t>
  </si>
  <si>
    <t>Inflyttad från Centralt</t>
  </si>
  <si>
    <t>Drifvarkaden</t>
  </si>
  <si>
    <t>5410, 5510</t>
  </si>
  <si>
    <t>Bastuevent</t>
  </si>
  <si>
    <t>Hyra</t>
  </si>
  <si>
    <t>Tappar</t>
  </si>
  <si>
    <t>Ljud och Ljus</t>
  </si>
  <si>
    <t>Måndagsstädsfest</t>
  </si>
  <si>
    <t>Städsubventionering</t>
  </si>
  <si>
    <t>195 Alk, 150 Alkfri, 65 Städare alk</t>
  </si>
  <si>
    <t>60 pers, 20% alkfri</t>
  </si>
  <si>
    <t>80kr pp, najs käk</t>
  </si>
  <si>
    <t>X-scapomiddag</t>
  </si>
  <si>
    <t>Alumnevent praxis</t>
  </si>
  <si>
    <t>Inköp Mat</t>
  </si>
  <si>
    <t>Höjd</t>
  </si>
  <si>
    <t>Sänkt, användes knappt</t>
  </si>
  <si>
    <t>&lt;--- Max pengar att lägga på pvård !!!!</t>
  </si>
  <si>
    <t>Kursnämndsmiddag</t>
  </si>
  <si>
    <t>Fika extern</t>
  </si>
  <si>
    <t>4045</t>
  </si>
  <si>
    <t>Tryck och marknadsföring</t>
  </si>
  <si>
    <t>4051-4054</t>
  </si>
  <si>
    <t>Transport</t>
  </si>
  <si>
    <t>5690</t>
  </si>
  <si>
    <t>Inköp besöksmaterial</t>
  </si>
  <si>
    <t>4030</t>
  </si>
  <si>
    <t>Inköp Mat till event</t>
  </si>
  <si>
    <t>4029</t>
  </si>
  <si>
    <t>Spons till event</t>
  </si>
  <si>
    <t>3988</t>
  </si>
  <si>
    <t>Retorikutbildning</t>
  </si>
  <si>
    <t>Företagsevent</t>
  </si>
  <si>
    <t>Antal studsare: 25</t>
  </si>
  <si>
    <t>Företagspresenter</t>
  </si>
  <si>
    <t>Startup-pub</t>
  </si>
  <si>
    <t xml:space="preserve">Inköp mat </t>
  </si>
  <si>
    <t>Adobe CC</t>
  </si>
  <si>
    <t>Kontokortsavgifter</t>
  </si>
  <si>
    <t>Webbavgifter</t>
  </si>
  <si>
    <t>Utskick av rapport</t>
  </si>
  <si>
    <t>PR</t>
  </si>
  <si>
    <t>Resa</t>
  </si>
  <si>
    <t>Boende</t>
  </si>
  <si>
    <t>Studieaktiviteter</t>
  </si>
  <si>
    <t>Ingen alk!</t>
  </si>
  <si>
    <t>Överlämning</t>
  </si>
  <si>
    <t>Informationsträffar</t>
  </si>
  <si>
    <t>Profilmaterial</t>
  </si>
  <si>
    <t>Profilaccessoarer</t>
  </si>
  <si>
    <t>Changelog inför 2026</t>
  </si>
  <si>
    <t>Utbildningshelg</t>
  </si>
  <si>
    <t>5010</t>
  </si>
  <si>
    <t>Mat och dryck utbildning</t>
  </si>
  <si>
    <t>7692</t>
  </si>
  <si>
    <t>Mat och dryck teambuilding</t>
  </si>
  <si>
    <t>7691</t>
  </si>
  <si>
    <t>Fika för föreställningar</t>
  </si>
  <si>
    <t>Höjt från -2 000kr</t>
  </si>
  <si>
    <t>Fika för grupper</t>
  </si>
  <si>
    <t>Höjt från -16 550 kr</t>
  </si>
  <si>
    <t>Fika för musiknummerrep</t>
  </si>
  <si>
    <t>Höjt från -1 000 kr</t>
  </si>
  <si>
    <t>Fika för samrep</t>
  </si>
  <si>
    <t>7630</t>
  </si>
  <si>
    <t>Rosor</t>
  </si>
  <si>
    <t>7631</t>
  </si>
  <si>
    <t>ABF-bidrag</t>
  </si>
  <si>
    <t>3989</t>
  </si>
  <si>
    <t>Lokalhyror avdragna från sponsen</t>
  </si>
  <si>
    <t>Sektionen för Medietekniks bidrag</t>
  </si>
  <si>
    <t>Dekishyra</t>
  </si>
  <si>
    <t>PR-Banderoll upphängning</t>
  </si>
  <si>
    <t>5930</t>
  </si>
  <si>
    <t>Mjuk- och hårdvarukostnader</t>
  </si>
  <si>
    <t>5420</t>
  </si>
  <si>
    <t>Bandet</t>
  </si>
  <si>
    <t>Replokalhyra</t>
  </si>
  <si>
    <t>Tillagd</t>
  </si>
  <si>
    <t>Bügg</t>
  </si>
  <si>
    <t>Sänkt från 3k</t>
  </si>
  <si>
    <t>5462</t>
  </si>
  <si>
    <t>Sänkt från 15k</t>
  </si>
  <si>
    <t>Skyddsutrustning</t>
  </si>
  <si>
    <t>5480</t>
  </si>
  <si>
    <t>4036</t>
  </si>
  <si>
    <t>Foto &amp; Film</t>
  </si>
  <si>
    <t>Fotoförstoring</t>
  </si>
  <si>
    <t>6150</t>
  </si>
  <si>
    <t>Sänkt från 750</t>
  </si>
  <si>
    <t>Grafique</t>
  </si>
  <si>
    <t>Försäljning, Hoodies</t>
  </si>
  <si>
    <t>3044</t>
  </si>
  <si>
    <t>Osäker på siffror</t>
  </si>
  <si>
    <t>Höjd från 16 500 kr</t>
  </si>
  <si>
    <t>Försäljning, Märken</t>
  </si>
  <si>
    <t>Försäljning, Övrigt</t>
  </si>
  <si>
    <t>3030</t>
  </si>
  <si>
    <t>Skissmaterial</t>
  </si>
  <si>
    <t>Posters</t>
  </si>
  <si>
    <t>Programblad</t>
  </si>
  <si>
    <t>Sänkt från 12 000: Blir alltid för många över</t>
  </si>
  <si>
    <t>Inköp, Hoodies</t>
  </si>
  <si>
    <t>4044</t>
  </si>
  <si>
    <t>Höjd från 15 500: Matchar verkligheten... yikes</t>
  </si>
  <si>
    <t>Inköp, Märken</t>
  </si>
  <si>
    <t>4027</t>
  </si>
  <si>
    <t>Oförändrad</t>
  </si>
  <si>
    <t>Inköp, Övrigt</t>
  </si>
  <si>
    <t>Sänkt från 54 000: Justerad efter tidigare år</t>
  </si>
  <si>
    <t>Kostym</t>
  </si>
  <si>
    <t>Sceneri</t>
  </si>
  <si>
    <t>sänkt från 18k</t>
  </si>
  <si>
    <t>Sytillbehör</t>
  </si>
  <si>
    <t>5410, 5460</t>
  </si>
  <si>
    <t>sänkt från 2k</t>
  </si>
  <si>
    <t>Ljud &amp; Ljus</t>
  </si>
  <si>
    <t>4037</t>
  </si>
  <si>
    <t>Teknikhyra rep</t>
  </si>
  <si>
    <t>5210</t>
  </si>
  <si>
    <t>Sminque &amp; Hår</t>
  </si>
  <si>
    <t>Sänkt från -9300 kr</t>
  </si>
  <si>
    <t>SpexM</t>
  </si>
  <si>
    <t>Pubdeko</t>
  </si>
  <si>
    <t>5411</t>
  </si>
  <si>
    <t>Sänkt från -3200</t>
  </si>
  <si>
    <t>Internfesten</t>
  </si>
  <si>
    <t>5463</t>
  </si>
  <si>
    <t>Sittingsmärken</t>
  </si>
  <si>
    <t>4031</t>
  </si>
  <si>
    <t>Externfesten</t>
  </si>
  <si>
    <t>Slutfesten</t>
  </si>
  <si>
    <t>Föreställningar</t>
  </si>
  <si>
    <t>3041</t>
  </si>
  <si>
    <t>Försäljning mat under föreställning</t>
  </si>
  <si>
    <t>3029</t>
  </si>
  <si>
    <t>Inköp mat under föreställning</t>
  </si>
  <si>
    <t>Teaterhyra</t>
  </si>
  <si>
    <t>Kökshyra föreställningsmat</t>
  </si>
  <si>
    <t>Teknikhyra</t>
  </si>
  <si>
    <t>5820</t>
  </si>
  <si>
    <t>Material</t>
  </si>
  <si>
    <t>dÅre 2026</t>
  </si>
  <si>
    <t>Var -1800 kr</t>
  </si>
  <si>
    <t>Bör inte subventioneras för dÅre 2027</t>
  </si>
  <si>
    <t>Omgjord från bara inköp till försäljning och inköp med samma resultat, för tydligheten och enhetlighetens skull</t>
  </si>
  <si>
    <t>Tackgåva</t>
  </si>
  <si>
    <t>Resan</t>
  </si>
  <si>
    <t>Biljetter, resenärer</t>
  </si>
  <si>
    <t>103*4500+33*3430</t>
  </si>
  <si>
    <t>Ökad från 532 000 kr</t>
  </si>
  <si>
    <t>Biljetter, dÅrestaben</t>
  </si>
  <si>
    <t>5*4500+3*3430</t>
  </si>
  <si>
    <t>Ökad från 31 200 kr</t>
  </si>
  <si>
    <t>Boende, liftkort</t>
  </si>
  <si>
    <t>5830, 5890</t>
  </si>
  <si>
    <t>3295*144</t>
  </si>
  <si>
    <t>Ökad från - 421 760 kr</t>
  </si>
  <si>
    <t>5800</t>
  </si>
  <si>
    <t>1070*108</t>
  </si>
  <si>
    <t>Ökad från - 114 000 kr</t>
  </si>
  <si>
    <t>Subventionering</t>
  </si>
  <si>
    <t>-800*144</t>
  </si>
  <si>
    <t>Ökad från - 102 400 kr</t>
  </si>
  <si>
    <t>Stjärtlappar och priser</t>
  </si>
  <si>
    <t>5410, 7630</t>
  </si>
  <si>
    <t>Ökad från - 300 kr</t>
  </si>
  <si>
    <t>Kläder till resande</t>
  </si>
  <si>
    <t>Minskad från -17 000 kr</t>
  </si>
  <si>
    <t>Ökning pga ökade antal platser</t>
  </si>
  <si>
    <t>Ökad från - 102 260 kr</t>
  </si>
  <si>
    <t>Changlog inför 2026</t>
  </si>
  <si>
    <t>Ätbart guld</t>
  </si>
  <si>
    <t>Ingredienser</t>
  </si>
  <si>
    <t>Fika under bak</t>
  </si>
  <si>
    <t>Noter</t>
  </si>
  <si>
    <t>Serieavgift</t>
  </si>
  <si>
    <t>Domaravgift</t>
  </si>
  <si>
    <t>Plantider</t>
  </si>
  <si>
    <t>Råhöftad</t>
  </si>
  <si>
    <t>Höjd från -1000 kr</t>
  </si>
  <si>
    <t>4010, 6150</t>
  </si>
  <si>
    <t>Sänkt från -1 050 kr</t>
  </si>
  <si>
    <t/>
  </si>
  <si>
    <t>VårBal</t>
  </si>
  <si>
    <t>115 á 550kr, 20 á 470 kr, 35 á 900 kr, 5 á 820 kr</t>
  </si>
  <si>
    <t>Höjd från +99 500</t>
  </si>
  <si>
    <t>Lokal 10-sent 28500, extraavgift för fler gäster 7500</t>
  </si>
  <si>
    <t>6800</t>
  </si>
  <si>
    <t>Sänkt från -13 000 kr</t>
  </si>
  <si>
    <t>Hyrgods</t>
  </si>
  <si>
    <t>5210, 5220</t>
  </si>
  <si>
    <t>Sänkt från -122 423 kr (laga egen mat)</t>
  </si>
  <si>
    <t>Alkfri dryck</t>
  </si>
  <si>
    <t>4021</t>
  </si>
  <si>
    <t>Alkfull dryck</t>
  </si>
  <si>
    <t>4022-4025</t>
  </si>
  <si>
    <t>Sänkt från −6077,4</t>
  </si>
  <si>
    <t>Döda DJ</t>
  </si>
  <si>
    <t>Vårbalken</t>
  </si>
  <si>
    <t>Osqvikhyra</t>
  </si>
  <si>
    <t>Höjd från +3000 kr</t>
  </si>
  <si>
    <t>Efterkör</t>
  </si>
  <si>
    <t>Sektionsavgift</t>
  </si>
  <si>
    <t>3061</t>
  </si>
  <si>
    <t>EECS-bidrag</t>
  </si>
  <si>
    <t>Påminnelseavgifter</t>
  </si>
  <si>
    <t>6920</t>
  </si>
  <si>
    <t>Bankavgifter</t>
  </si>
  <si>
    <t>6570</t>
  </si>
  <si>
    <t>Bokföringsprogram</t>
  </si>
  <si>
    <t>6541</t>
  </si>
  <si>
    <t>Försäljningsavgifter Zettle</t>
  </si>
  <si>
    <t>6061</t>
  </si>
  <si>
    <t>Försäljningsavgifter Stripe &amp; Confetti</t>
  </si>
  <si>
    <t>6062</t>
  </si>
  <si>
    <t>Tillsynsavgifter Myndigheter</t>
  </si>
  <si>
    <t>Förrådshyra</t>
  </si>
  <si>
    <t>CSS + R1 + R2 (!)</t>
  </si>
  <si>
    <t>Avfallshanteringsavgifter</t>
  </si>
  <si>
    <t>5060</t>
  </si>
  <si>
    <t>Försäkring</t>
  </si>
  <si>
    <t>6310</t>
  </si>
  <si>
    <t>6110</t>
  </si>
  <si>
    <t>6040</t>
  </si>
  <si>
    <t>SEB, 350/år</t>
  </si>
  <si>
    <t>Ränteintäkter</t>
  </si>
  <si>
    <t>SEB, Räknar med 1 mille konstant</t>
  </si>
  <si>
    <t>Förbrukningsmaterial HLR</t>
  </si>
  <si>
    <t>Sektionsmöte (SM)</t>
  </si>
  <si>
    <t>Mat och dricka</t>
  </si>
  <si>
    <t>4021, 4029</t>
  </si>
  <si>
    <t>Engångskostnader</t>
  </si>
  <si>
    <t>Utklädnad till Talman och Vice Talman</t>
  </si>
  <si>
    <t>Inköp av stolar</t>
  </si>
  <si>
    <t>Inköp broderimaskin</t>
  </si>
  <si>
    <t>Inköp broderitillbehör</t>
  </si>
  <si>
    <t>Inköp av snickarbyxor</t>
  </si>
  <si>
    <t>Lime Go Abonnemang</t>
  </si>
  <si>
    <t>Reperation av Flippret</t>
  </si>
  <si>
    <t>Förtjänsttecken</t>
  </si>
  <si>
    <t>Ljuddämpning av META</t>
  </si>
  <si>
    <t xml:space="preserve">Material till västar </t>
  </si>
  <si>
    <t>Inköp tält</t>
  </si>
  <si>
    <t>HLR-instruktörsutbildning</t>
  </si>
  <si>
    <t>Dispfonden</t>
  </si>
  <si>
    <t>dFunkteambuilding</t>
  </si>
  <si>
    <t>Hyvlad, reality check</t>
  </si>
  <si>
    <t>dFunklunch</t>
  </si>
  <si>
    <t>2 st luncher</t>
  </si>
  <si>
    <t>Julklappar dFunkt</t>
  </si>
  <si>
    <t>dFunktavla</t>
  </si>
  <si>
    <t>Flyttad hit från SLG</t>
  </si>
  <si>
    <t>Mat dFunköverlämning</t>
  </si>
  <si>
    <t>Reality check</t>
  </si>
  <si>
    <t xml:space="preserve"> </t>
  </si>
  <si>
    <t>D-råd</t>
  </si>
  <si>
    <t>Bifftes</t>
  </si>
  <si>
    <t>Vi ska äta på riktiga tallrikar</t>
  </si>
  <si>
    <t>7693 (7692)</t>
  </si>
  <si>
    <t>Extern Representation</t>
  </si>
  <si>
    <t>Styrelsemiddagar 10000, Representation 20000. Ej alkohol</t>
  </si>
  <si>
    <t>Porto</t>
  </si>
  <si>
    <t>Ordenstecken och Medaljer</t>
  </si>
  <si>
    <t>Höjd pga inköp av nya medaljband samt plakett till Hedersmedlemmar</t>
  </si>
  <si>
    <t>Möten</t>
  </si>
  <si>
    <t>Kanslifrukost</t>
  </si>
  <si>
    <t>D-råd fika</t>
  </si>
  <si>
    <t>DM och Motionsskrivarstuga fika</t>
  </si>
  <si>
    <t>D-Forum</t>
  </si>
  <si>
    <t>Anmälningsavgift</t>
  </si>
  <si>
    <t>D-wreckmiddag</t>
  </si>
  <si>
    <t>Rosor (Valgåvor)</t>
  </si>
  <si>
    <t>Sektionsmässan</t>
  </si>
  <si>
    <t>Fika till THS Fanborg</t>
  </si>
  <si>
    <t>Kemtvätt</t>
  </si>
  <si>
    <t>Organ</t>
  </si>
  <si>
    <t>Eventorganet</t>
  </si>
  <si>
    <t>Eventorgansfond</t>
  </si>
  <si>
    <t>Studiesociala organet</t>
  </si>
  <si>
    <t>Studiesociala organet organsfond</t>
  </si>
  <si>
    <t>Förvaltningsorganet</t>
  </si>
  <si>
    <t>Förvaltningsorgansfond</t>
  </si>
  <si>
    <t>Påverkansorganet</t>
  </si>
  <si>
    <t>Påverkansorgansfond</t>
  </si>
  <si>
    <t>Informationsorganfond</t>
  </si>
  <si>
    <t>Partitioner</t>
  </si>
  <si>
    <t>Schackklubben</t>
  </si>
  <si>
    <t>Inköp schackbräden</t>
  </si>
  <si>
    <t>Partition</t>
  </si>
  <si>
    <t>Projekt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</si>
</sst>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[$kr-41D]"/>
    <numFmt numFmtId="165" formatCode="###\ ###\ ##0\ [$kr]"/>
    <numFmt numFmtId="166" formatCode="#,##0[$ kr]"/>
    <numFmt numFmtId="167" formatCode="#,##0.00\ [$kr-41D]"/>
    <numFmt numFmtId="168" formatCode="#,##0.00[$ kr]"/>
  </numFmts>
  <fonts count="45" x14ac:knownFonts="1">
    <font>
      <sz val="10"/>
      <color rgb="FF000000"/>
      <name val="Arial"/>
      <scheme val="minor"/>
    </font>
    <font>
      <sz val="11"/>
      <color theme="1"/>
      <name val="Lato"/>
    </font>
    <font>
      <b/>
      <sz val="26"/>
      <color theme="1"/>
      <name val="Lato"/>
    </font>
    <font>
      <sz val="16"/>
      <color theme="1"/>
      <name val="Lato"/>
    </font>
    <font>
      <b/>
      <sz val="16"/>
      <color theme="1"/>
      <name val="Lato"/>
    </font>
    <font>
      <b/>
      <sz val="13"/>
      <color theme="1"/>
      <name val="Lato"/>
    </font>
    <font>
      <b/>
      <sz val="11"/>
      <color theme="1"/>
      <name val="Lato"/>
    </font>
    <font>
      <u/>
      <sz val="11"/>
      <color theme="1"/>
      <name val="Lato"/>
    </font>
    <font>
      <b/>
      <sz val="11"/>
      <color rgb="FF38761D"/>
      <name val="Lato"/>
    </font>
    <font>
      <b/>
      <sz val="21"/>
      <color theme="1"/>
      <name val="Lato"/>
    </font>
    <font>
      <b/>
      <sz val="21"/>
      <color rgb="FF38761D"/>
      <name val="Lato"/>
    </font>
    <font>
      <b/>
      <sz val="11"/>
      <color rgb="FF990000"/>
      <name val="Lato"/>
    </font>
    <font>
      <sz val="14"/>
      <color theme="1"/>
      <name val="Lato"/>
    </font>
    <font>
      <sz val="10"/>
      <color theme="1"/>
      <name val="Lato"/>
    </font>
    <font>
      <b/>
      <sz val="10"/>
      <color theme="1"/>
      <name val="Lato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Lato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38761D"/>
      <name val="Arial"/>
      <family val="2"/>
    </font>
    <font>
      <b/>
      <sz val="11"/>
      <color rgb="FF990000"/>
      <name val="Arial"/>
      <family val="2"/>
    </font>
    <font>
      <sz val="14"/>
      <color rgb="FF000000"/>
      <name val="Lato"/>
    </font>
    <font>
      <sz val="10"/>
      <color rgb="FF000000"/>
      <name val="Lato"/>
    </font>
    <font>
      <b/>
      <sz val="10"/>
      <color rgb="FF000000"/>
      <name val="Lato"/>
    </font>
    <font>
      <sz val="11"/>
      <color rgb="FF000000"/>
      <name val="Lat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34A853"/>
      <name val="Lato"/>
    </font>
    <font>
      <b/>
      <sz val="10"/>
      <color theme="1"/>
      <name val="Lato"/>
    </font>
    <font>
      <sz val="10"/>
      <color theme="1"/>
      <name val="Lato"/>
    </font>
    <font>
      <b/>
      <sz val="10"/>
      <color rgb="FF34A853"/>
      <name val="Lato"/>
    </font>
    <font>
      <b/>
      <sz val="10"/>
      <color rgb="FF38761D"/>
      <name val="Lato"/>
    </font>
    <font>
      <b/>
      <sz val="11"/>
      <color rgb="FFCC0000"/>
      <name val="Lato"/>
    </font>
    <font>
      <b/>
      <sz val="11"/>
      <color rgb="FF449D1C"/>
      <name val="Lato"/>
    </font>
    <font>
      <sz val="11"/>
      <color rgb="FFCC0000"/>
      <name val="Lato"/>
    </font>
    <font>
      <b/>
      <sz val="11"/>
      <color rgb="FF6AA84F"/>
      <name val="Lato"/>
    </font>
    <font>
      <b/>
      <sz val="11"/>
      <color rgb="FFA61C00"/>
      <name val="Lato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990000"/>
      <name val="Lato"/>
    </font>
    <font>
      <b/>
      <sz val="10"/>
      <color rgb="FF38761D"/>
      <name val="Lato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5F99"/>
        <bgColor rgb="FFEC5F9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3" fillId="2" borderId="0" xfId="0" applyFont="1" applyFill="1"/>
    <xf numFmtId="0" fontId="1" fillId="0" borderId="1" xfId="0" applyFont="1" applyBorder="1"/>
    <xf numFmtId="0" fontId="5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3" borderId="2" xfId="0" applyFont="1" applyFill="1" applyBorder="1"/>
    <xf numFmtId="164" fontId="6" fillId="0" borderId="0" xfId="0" applyNumberFormat="1" applyFont="1" applyAlignment="1">
      <alignment horizontal="right"/>
    </xf>
    <xf numFmtId="164" fontId="1" fillId="3" borderId="0" xfId="0" applyNumberFormat="1" applyFont="1" applyFill="1"/>
    <xf numFmtId="165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0" fontId="1" fillId="3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right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164" fontId="6" fillId="3" borderId="0" xfId="0" applyNumberFormat="1" applyFont="1" applyFill="1"/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right"/>
    </xf>
    <xf numFmtId="0" fontId="9" fillId="3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6" fillId="3" borderId="1" xfId="0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right"/>
    </xf>
    <xf numFmtId="0" fontId="6" fillId="0" borderId="0" xfId="0" applyFont="1"/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165" fontId="14" fillId="0" borderId="0" xfId="0" applyNumberFormat="1" applyFont="1"/>
    <xf numFmtId="0" fontId="15" fillId="0" borderId="0" xfId="0" applyFont="1"/>
    <xf numFmtId="164" fontId="8" fillId="0" borderId="0" xfId="0" applyNumberFormat="1" applyFont="1" applyAlignment="1">
      <alignment horizontal="right"/>
    </xf>
    <xf numFmtId="165" fontId="16" fillId="0" borderId="0" xfId="0" applyNumberFormat="1" applyFont="1"/>
    <xf numFmtId="165" fontId="17" fillId="0" borderId="0" xfId="0" applyNumberFormat="1" applyFont="1"/>
    <xf numFmtId="165" fontId="1" fillId="0" borderId="0" xfId="0" applyNumberFormat="1" applyFont="1"/>
    <xf numFmtId="165" fontId="18" fillId="3" borderId="0" xfId="0" applyNumberFormat="1" applyFont="1" applyFill="1"/>
    <xf numFmtId="0" fontId="19" fillId="0" borderId="0" xfId="0" applyFont="1"/>
    <xf numFmtId="164" fontId="11" fillId="0" borderId="0" xfId="0" applyNumberFormat="1" applyFont="1" applyAlignment="1">
      <alignment horizontal="right"/>
    </xf>
    <xf numFmtId="164" fontId="19" fillId="0" borderId="0" xfId="0" applyNumberFormat="1" applyFont="1"/>
    <xf numFmtId="0" fontId="20" fillId="0" borderId="0" xfId="0" applyFont="1"/>
    <xf numFmtId="165" fontId="19" fillId="0" borderId="0" xfId="0" applyNumberFormat="1" applyFont="1"/>
    <xf numFmtId="164" fontId="21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23" fillId="0" borderId="0" xfId="0" applyFont="1"/>
    <xf numFmtId="164" fontId="23" fillId="0" borderId="0" xfId="0" applyNumberFormat="1" applyFont="1"/>
    <xf numFmtId="0" fontId="24" fillId="0" borderId="0" xfId="0" applyFont="1"/>
    <xf numFmtId="165" fontId="25" fillId="0" borderId="0" xfId="0" applyNumberFormat="1" applyFont="1"/>
    <xf numFmtId="0" fontId="26" fillId="0" borderId="0" xfId="0" applyFont="1"/>
    <xf numFmtId="0" fontId="18" fillId="0" borderId="0" xfId="0" applyFont="1"/>
    <xf numFmtId="165" fontId="18" fillId="0" borderId="0" xfId="0" applyNumberFormat="1" applyFont="1"/>
    <xf numFmtId="165" fontId="18" fillId="0" borderId="0" xfId="0" applyNumberFormat="1" applyFont="1" applyAlignment="1">
      <alignment horizontal="right"/>
    </xf>
    <xf numFmtId="165" fontId="18" fillId="3" borderId="0" xfId="0" applyNumberFormat="1" applyFont="1" applyFill="1" applyAlignment="1">
      <alignment horizontal="right"/>
    </xf>
    <xf numFmtId="166" fontId="1" fillId="0" borderId="0" xfId="0" applyNumberFormat="1" applyFont="1"/>
    <xf numFmtId="165" fontId="26" fillId="0" borderId="0" xfId="0" applyNumberFormat="1" applyFont="1"/>
    <xf numFmtId="0" fontId="27" fillId="0" borderId="0" xfId="0" applyFont="1"/>
    <xf numFmtId="165" fontId="27" fillId="0" borderId="0" xfId="0" applyNumberFormat="1" applyFont="1"/>
    <xf numFmtId="165" fontId="27" fillId="3" borderId="0" xfId="0" applyNumberFormat="1" applyFont="1" applyFill="1"/>
    <xf numFmtId="165" fontId="8" fillId="0" borderId="0" xfId="0" applyNumberFormat="1" applyFont="1" applyAlignment="1">
      <alignment horizontal="right"/>
    </xf>
    <xf numFmtId="165" fontId="6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65" fontId="11" fillId="3" borderId="0" xfId="0" applyNumberFormat="1" applyFont="1" applyFill="1" applyAlignment="1">
      <alignment horizontal="right"/>
    </xf>
    <xf numFmtId="165" fontId="26" fillId="3" borderId="0" xfId="0" applyNumberFormat="1" applyFont="1" applyFill="1"/>
    <xf numFmtId="164" fontId="18" fillId="0" borderId="0" xfId="0" applyNumberFormat="1" applyFont="1" applyAlignment="1">
      <alignment horizontal="right"/>
    </xf>
    <xf numFmtId="166" fontId="19" fillId="0" borderId="0" xfId="0" applyNumberFormat="1" applyFont="1"/>
    <xf numFmtId="165" fontId="19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166" fontId="8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 vertical="top"/>
    </xf>
    <xf numFmtId="49" fontId="19" fillId="0" borderId="0" xfId="0" applyNumberFormat="1" applyFont="1"/>
    <xf numFmtId="164" fontId="1" fillId="0" borderId="0" xfId="0" applyNumberFormat="1" applyFont="1" applyAlignment="1">
      <alignment wrapText="1"/>
    </xf>
    <xf numFmtId="166" fontId="11" fillId="0" borderId="0" xfId="0" applyNumberFormat="1" applyFont="1" applyAlignment="1">
      <alignment horizontal="right" vertical="top"/>
    </xf>
    <xf numFmtId="49" fontId="1" fillId="0" borderId="0" xfId="0" applyNumberFormat="1" applyFont="1"/>
    <xf numFmtId="164" fontId="1" fillId="0" borderId="0" xfId="0" applyNumberFormat="1" applyFont="1"/>
    <xf numFmtId="165" fontId="28" fillId="0" borderId="0" xfId="0" applyNumberFormat="1" applyFont="1"/>
    <xf numFmtId="3" fontId="1" fillId="0" borderId="0" xfId="0" applyNumberFormat="1" applyFont="1" applyAlignment="1">
      <alignment horizontal="right"/>
    </xf>
    <xf numFmtId="166" fontId="28" fillId="0" borderId="0" xfId="0" applyNumberFormat="1" applyFont="1"/>
    <xf numFmtId="0" fontId="6" fillId="0" borderId="0" xfId="0" applyFont="1" applyAlignment="1">
      <alignment horizontal="right"/>
    </xf>
    <xf numFmtId="0" fontId="17" fillId="0" borderId="0" xfId="0" applyFont="1"/>
    <xf numFmtId="166" fontId="13" fillId="0" borderId="0" xfId="0" applyNumberFormat="1" applyFont="1"/>
    <xf numFmtId="164" fontId="13" fillId="0" borderId="0" xfId="0" applyNumberFormat="1" applyFont="1"/>
    <xf numFmtId="166" fontId="29" fillId="0" borderId="0" xfId="0" applyNumberFormat="1" applyFont="1" applyAlignment="1">
      <alignment horizontal="right"/>
    </xf>
    <xf numFmtId="164" fontId="29" fillId="0" borderId="0" xfId="0" applyNumberFormat="1" applyFont="1" applyAlignment="1">
      <alignment horizontal="right"/>
    </xf>
    <xf numFmtId="167" fontId="12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67" fontId="13" fillId="0" borderId="0" xfId="0" applyNumberFormat="1" applyFont="1"/>
    <xf numFmtId="0" fontId="30" fillId="0" borderId="0" xfId="0" applyFont="1"/>
    <xf numFmtId="0" fontId="31" fillId="0" borderId="0" xfId="0" applyFont="1"/>
    <xf numFmtId="164" fontId="31" fillId="0" borderId="0" xfId="0" applyNumberFormat="1" applyFont="1"/>
    <xf numFmtId="0" fontId="14" fillId="0" borderId="0" xfId="0" applyFont="1"/>
    <xf numFmtId="0" fontId="13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14" fillId="0" borderId="0" xfId="0" applyNumberFormat="1" applyFont="1"/>
    <xf numFmtId="168" fontId="13" fillId="0" borderId="0" xfId="0" applyNumberFormat="1" applyFont="1"/>
    <xf numFmtId="164" fontId="32" fillId="0" borderId="0" xfId="0" applyNumberFormat="1" applyFont="1" applyAlignment="1">
      <alignment horizontal="right"/>
    </xf>
    <xf numFmtId="164" fontId="33" fillId="0" borderId="0" xfId="0" applyNumberFormat="1" applyFont="1" applyAlignment="1">
      <alignment horizontal="right"/>
    </xf>
    <xf numFmtId="164" fontId="30" fillId="0" borderId="0" xfId="0" applyNumberFormat="1" applyFont="1"/>
    <xf numFmtId="0" fontId="6" fillId="0" borderId="0" xfId="0" applyFont="1" applyAlignment="1">
      <alignment vertical="top"/>
    </xf>
    <xf numFmtId="49" fontId="6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8" fontId="1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vertical="top"/>
    </xf>
    <xf numFmtId="49" fontId="6" fillId="0" borderId="0" xfId="0" applyNumberFormat="1" applyFont="1"/>
    <xf numFmtId="49" fontId="1" fillId="0" borderId="0" xfId="0" applyNumberFormat="1" applyFont="1" applyAlignment="1">
      <alignment vertical="top"/>
    </xf>
    <xf numFmtId="165" fontId="34" fillId="0" borderId="0" xfId="0" applyNumberFormat="1" applyFont="1" applyAlignment="1">
      <alignment horizontal="right" vertical="top"/>
    </xf>
    <xf numFmtId="49" fontId="27" fillId="0" borderId="0" xfId="0" applyNumberFormat="1" applyFont="1" applyAlignment="1">
      <alignment vertical="top"/>
    </xf>
    <xf numFmtId="168" fontId="27" fillId="0" borderId="0" xfId="0" applyNumberFormat="1" applyFont="1" applyAlignment="1">
      <alignment vertical="top"/>
    </xf>
    <xf numFmtId="165" fontId="27" fillId="0" borderId="0" xfId="0" applyNumberFormat="1" applyFont="1" applyAlignment="1">
      <alignment vertical="top"/>
    </xf>
    <xf numFmtId="0" fontId="27" fillId="0" borderId="0" xfId="0" applyFont="1" applyAlignment="1">
      <alignment vertical="top"/>
    </xf>
    <xf numFmtId="166" fontId="1" fillId="0" borderId="0" xfId="0" applyNumberFormat="1" applyFont="1" applyAlignment="1">
      <alignment horizontal="right" vertical="top"/>
    </xf>
    <xf numFmtId="165" fontId="1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vertical="top"/>
    </xf>
    <xf numFmtId="166" fontId="35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27" fillId="0" borderId="0" xfId="0" applyNumberFormat="1" applyFont="1" applyAlignment="1">
      <alignment vertical="top"/>
    </xf>
    <xf numFmtId="166" fontId="34" fillId="0" borderId="0" xfId="0" applyNumberFormat="1" applyFont="1" applyAlignment="1">
      <alignment horizontal="right" vertical="top"/>
    </xf>
    <xf numFmtId="166" fontId="36" fillId="0" borderId="0" xfId="0" applyNumberFormat="1" applyFont="1" applyAlignment="1">
      <alignment horizontal="right" vertical="top"/>
    </xf>
    <xf numFmtId="165" fontId="35" fillId="0" borderId="0" xfId="0" applyNumberFormat="1" applyFont="1" applyAlignment="1">
      <alignment horizontal="right" vertical="top"/>
    </xf>
    <xf numFmtId="168" fontId="1" fillId="0" borderId="0" xfId="0" applyNumberFormat="1" applyFont="1" applyAlignment="1">
      <alignment vertical="top"/>
    </xf>
    <xf numFmtId="165" fontId="37" fillId="0" borderId="0" xfId="0" applyNumberFormat="1" applyFont="1" applyAlignment="1">
      <alignment horizontal="right" vertical="top"/>
    </xf>
    <xf numFmtId="49" fontId="27" fillId="0" borderId="0" xfId="0" applyNumberFormat="1" applyFont="1"/>
    <xf numFmtId="168" fontId="27" fillId="0" borderId="0" xfId="0" applyNumberFormat="1" applyFont="1"/>
    <xf numFmtId="165" fontId="38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64" fontId="27" fillId="0" borderId="0" xfId="0" applyNumberFormat="1" applyFont="1"/>
    <xf numFmtId="0" fontId="16" fillId="0" borderId="0" xfId="0" applyFont="1"/>
    <xf numFmtId="49" fontId="12" fillId="0" borderId="0" xfId="0" applyNumberFormat="1" applyFont="1"/>
    <xf numFmtId="164" fontId="6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49" fontId="6" fillId="0" borderId="0" xfId="0" applyNumberFormat="1" applyFont="1" applyAlignment="1">
      <alignment horizontal="right"/>
    </xf>
    <xf numFmtId="165" fontId="30" fillId="0" borderId="0" xfId="0" applyNumberFormat="1" applyFont="1"/>
    <xf numFmtId="0" fontId="39" fillId="0" borderId="0" xfId="0" applyFont="1"/>
    <xf numFmtId="165" fontId="30" fillId="0" borderId="0" xfId="0" applyNumberFormat="1" applyFont="1" applyAlignment="1">
      <alignment horizontal="right"/>
    </xf>
    <xf numFmtId="166" fontId="40" fillId="0" borderId="0" xfId="0" applyNumberFormat="1" applyFont="1"/>
    <xf numFmtId="164" fontId="30" fillId="0" borderId="0" xfId="0" applyNumberFormat="1" applyFont="1" applyAlignment="1">
      <alignment horizontal="right"/>
    </xf>
    <xf numFmtId="164" fontId="41" fillId="0" borderId="0" xfId="0" applyNumberFormat="1" applyFont="1" applyAlignment="1">
      <alignment horizontal="right"/>
    </xf>
    <xf numFmtId="164" fontId="42" fillId="0" borderId="0" xfId="0" applyNumberFormat="1" applyFont="1" applyAlignment="1">
      <alignment horizontal="right"/>
    </xf>
    <xf numFmtId="165" fontId="43" fillId="0" borderId="0" xfId="0" applyNumberFormat="1" applyFont="1"/>
    <xf numFmtId="0" fontId="1" fillId="4" borderId="0" xfId="0" applyFont="1" applyFill="1"/>
    <xf numFmtId="0" fontId="6" fillId="4" borderId="0" xfId="0" applyFont="1" applyFill="1"/>
    <xf numFmtId="0" fontId="15" fillId="4" borderId="0" xfId="0" applyFont="1" applyFill="1"/>
    <xf numFmtId="0" fontId="44" fillId="4" borderId="0" xfId="0" applyFont="1" applyFill="1"/>
    <xf numFmtId="165" fontId="6" fillId="4" borderId="0" xfId="0" applyNumberFormat="1" applyFont="1" applyFill="1"/>
    <xf numFmtId="0" fontId="1" fillId="0" borderId="0" xfId="0" applyFont="1"/>
    <xf numFmtId="0" fontId="0" fillId="0" borderId="0" xfId="0"/>
    <xf numFmtId="0" fontId="7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97"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theme="7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theme="7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theme="7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4A853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38761D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lmg@datasektionen.se" TargetMode="External"/><Relationship Id="rId2" Type="http://schemas.openxmlformats.org/officeDocument/2006/relationships/hyperlink" Target="mailto:eaeklof@datasektionen.se" TargetMode="External"/><Relationship Id="rId1" Type="http://schemas.openxmlformats.org/officeDocument/2006/relationships/hyperlink" Target="mailto:maxbergl@datasektionen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1"/>
  <sheetViews>
    <sheetView topLeftCell="B1" workbookViewId="0">
      <selection sqref="A1:B1"/>
    </sheetView>
  </sheetViews>
  <sheetFormatPr baseColWidth="10" defaultColWidth="12.6640625" defaultRowHeight="15.75" customHeight="1" x14ac:dyDescent="0.15"/>
  <cols>
    <col min="2" max="2" width="28.5" customWidth="1"/>
    <col min="3" max="3" width="24.1640625" customWidth="1"/>
    <col min="4" max="4" width="21.1640625" customWidth="1"/>
    <col min="5" max="5" width="19.83203125" customWidth="1"/>
    <col min="9" max="9" width="27.1640625" customWidth="1"/>
  </cols>
  <sheetData>
    <row r="1" spans="1:26" ht="15.75" customHeight="1" x14ac:dyDescent="0.4">
      <c r="A1" s="154"/>
      <c r="B1" s="155"/>
      <c r="C1" s="157" t="s">
        <v>0</v>
      </c>
      <c r="D1" s="155"/>
      <c r="E1" s="155"/>
      <c r="F1" s="155"/>
      <c r="G1" s="155"/>
      <c r="H1" s="155"/>
      <c r="I1" s="155"/>
      <c r="J1" s="154"/>
      <c r="K1" s="15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/>
      <c r="B2" s="158"/>
      <c r="C2" s="155"/>
      <c r="D2" s="159" t="s">
        <v>1</v>
      </c>
      <c r="E2" s="155"/>
      <c r="F2" s="155"/>
      <c r="G2" s="155"/>
      <c r="H2" s="2"/>
      <c r="I2" s="159" t="s">
        <v>2</v>
      </c>
      <c r="J2" s="155"/>
      <c r="K2" s="15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2">
      <c r="A3" s="1"/>
      <c r="B3" s="3"/>
      <c r="C3" s="1"/>
      <c r="D3" s="1"/>
      <c r="E3" s="1"/>
      <c r="F3" s="1"/>
      <c r="G3" s="1"/>
      <c r="H3" s="1"/>
      <c r="I3" s="154"/>
      <c r="J3" s="155"/>
      <c r="K3" s="15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1"/>
      <c r="G4" s="1"/>
      <c r="H4" s="1"/>
      <c r="I4" s="154"/>
      <c r="J4" s="155"/>
      <c r="K4" s="15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2">
      <c r="A5" s="5"/>
      <c r="B5" s="6"/>
      <c r="C5" s="1"/>
      <c r="D5" s="1"/>
      <c r="E5" s="1"/>
      <c r="F5" s="1"/>
      <c r="G5" s="1"/>
      <c r="H5" s="1"/>
      <c r="I5" s="154"/>
      <c r="J5" s="155"/>
      <c r="K5" s="15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5"/>
      <c r="B6" s="4" t="s">
        <v>8</v>
      </c>
      <c r="C6" s="1"/>
      <c r="D6" s="1"/>
      <c r="E6" s="1"/>
      <c r="F6" s="1"/>
      <c r="G6" s="1"/>
      <c r="H6" s="1"/>
      <c r="I6" s="154"/>
      <c r="J6" s="155"/>
      <c r="K6" s="15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2">
      <c r="A7" s="7">
        <v>1</v>
      </c>
      <c r="B7" s="6" t="s">
        <v>9</v>
      </c>
      <c r="C7" s="8">
        <f>'1 - Ada'!E40</f>
        <v>15200</v>
      </c>
      <c r="D7" s="8">
        <f>'1 - Ada'!F40</f>
        <v>-23380</v>
      </c>
      <c r="E7" s="8">
        <f>'1 - Ada'!G40</f>
        <v>-8180</v>
      </c>
      <c r="F7" s="9"/>
      <c r="G7" s="9"/>
      <c r="H7" s="9"/>
      <c r="I7" s="154" t="s">
        <v>10</v>
      </c>
      <c r="J7" s="155"/>
      <c r="K7" s="15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2">
      <c r="A8" s="7">
        <v>3</v>
      </c>
      <c r="B8" s="6" t="s">
        <v>11</v>
      </c>
      <c r="C8" s="10">
        <f>'3 - Datasladden'!E25</f>
        <v>0</v>
      </c>
      <c r="D8" s="10">
        <f>'3 - Datasladden'!F25</f>
        <v>-120300</v>
      </c>
      <c r="E8" s="10">
        <f>'3 - Datasladden'!G25</f>
        <v>-120300</v>
      </c>
      <c r="F8" s="9"/>
      <c r="G8" s="9"/>
      <c r="H8" s="9"/>
      <c r="I8" s="154" t="s">
        <v>12</v>
      </c>
      <c r="J8" s="155"/>
      <c r="K8" s="15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x14ac:dyDescent="0.2">
      <c r="A9" s="7">
        <v>4</v>
      </c>
      <c r="B9" s="6" t="s">
        <v>13</v>
      </c>
      <c r="C9" s="11">
        <f>'4 - D-Dagen'!E92</f>
        <v>4273890</v>
      </c>
      <c r="D9" s="11">
        <f>'4 - D-Dagen'!F92</f>
        <v>-1968910</v>
      </c>
      <c r="E9" s="10">
        <f>'4 - D-Dagen'!G92</f>
        <v>2304980</v>
      </c>
      <c r="F9" s="9"/>
      <c r="G9" s="9"/>
      <c r="H9" s="9"/>
      <c r="I9" s="156" t="s">
        <v>14</v>
      </c>
      <c r="J9" s="155"/>
      <c r="K9" s="15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x14ac:dyDescent="0.2">
      <c r="A10" s="7">
        <v>5</v>
      </c>
      <c r="B10" s="6" t="s">
        <v>15</v>
      </c>
      <c r="C10" s="11">
        <f>'5 - DEMON'!E9</f>
        <v>0</v>
      </c>
      <c r="D10" s="11">
        <f>'5 - DEMON'!F9</f>
        <v>-26500</v>
      </c>
      <c r="E10" s="10">
        <f>'5 - DEMON'!G9</f>
        <v>-26500</v>
      </c>
      <c r="F10" s="9"/>
      <c r="G10" s="9"/>
      <c r="H10" s="9"/>
      <c r="I10" s="156" t="s">
        <v>16</v>
      </c>
      <c r="J10" s="155"/>
      <c r="K10" s="15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2">
      <c r="A11" s="7">
        <v>6</v>
      </c>
      <c r="B11" s="6" t="s">
        <v>17</v>
      </c>
      <c r="C11" s="11">
        <f>'6 - DESC'!E31</f>
        <v>2000</v>
      </c>
      <c r="D11" s="11">
        <f>'6 - DESC'!F31</f>
        <v>-30750</v>
      </c>
      <c r="E11" s="10">
        <f>'6 - DESC'!G31</f>
        <v>-28750</v>
      </c>
      <c r="F11" s="9"/>
      <c r="G11" s="9"/>
      <c r="H11" s="9"/>
      <c r="I11" s="154" t="s">
        <v>18</v>
      </c>
      <c r="J11" s="155"/>
      <c r="K11" s="15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2">
      <c r="A12" s="7">
        <v>7</v>
      </c>
      <c r="B12" s="6" t="s">
        <v>19</v>
      </c>
      <c r="C12" s="11">
        <f>'7 - D-Festeriet'!E113</f>
        <v>122735</v>
      </c>
      <c r="D12" s="11">
        <f>'7 - D-Festeriet'!F113</f>
        <v>-130934</v>
      </c>
      <c r="E12" s="10">
        <f>'7 - D-Festeriet'!G113</f>
        <v>-8199</v>
      </c>
      <c r="F12" s="9"/>
      <c r="G12" s="9"/>
      <c r="H12" s="9"/>
      <c r="I12" s="154" t="s">
        <v>20</v>
      </c>
      <c r="J12" s="155"/>
      <c r="K12" s="15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2">
      <c r="A13" s="7">
        <v>8</v>
      </c>
      <c r="B13" s="6" t="s">
        <v>21</v>
      </c>
      <c r="C13" s="12">
        <f>'8 - dJulkalendern'!E18</f>
        <v>870</v>
      </c>
      <c r="D13" s="12">
        <f>'8 - dJulkalendern'!F18</f>
        <v>-11540</v>
      </c>
      <c r="E13" s="12">
        <f>'8 - dJulkalendern'!G18</f>
        <v>-10670</v>
      </c>
      <c r="F13" s="9"/>
      <c r="G13" s="9"/>
      <c r="H13" s="9"/>
      <c r="I13" s="156" t="s">
        <v>22</v>
      </c>
      <c r="J13" s="155"/>
      <c r="K13" s="15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x14ac:dyDescent="0.2">
      <c r="A14" s="7">
        <v>9</v>
      </c>
      <c r="B14" s="6" t="s">
        <v>23</v>
      </c>
      <c r="C14" s="11">
        <f>'9 - DKM'!E141</f>
        <v>752290</v>
      </c>
      <c r="D14" s="11">
        <f>'9 - DKM'!F141</f>
        <v>-814806</v>
      </c>
      <c r="E14" s="10">
        <f>'9 - DKM'!G141</f>
        <v>-62516</v>
      </c>
      <c r="F14" s="9"/>
      <c r="G14" s="9"/>
      <c r="H14" s="9"/>
      <c r="I14" s="154" t="s">
        <v>24</v>
      </c>
      <c r="J14" s="155"/>
      <c r="K14" s="15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2">
      <c r="A15" s="7">
        <v>11</v>
      </c>
      <c r="B15" s="6" t="s">
        <v>25</v>
      </c>
      <c r="C15" s="11">
        <f>'204 - D-Rektoratet'!E43</f>
        <v>6100</v>
      </c>
      <c r="D15" s="11">
        <f>'204 - D-Rektoratet'!F43</f>
        <v>-125500</v>
      </c>
      <c r="E15" s="10">
        <f>'204 - D-Rektoratet'!G43</f>
        <v>-119400</v>
      </c>
      <c r="F15" s="9"/>
      <c r="G15" s="9"/>
      <c r="H15" s="9"/>
      <c r="I15" s="154" t="s">
        <v>26</v>
      </c>
      <c r="J15" s="155"/>
      <c r="K15" s="15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" x14ac:dyDescent="0.2">
      <c r="A16" s="7">
        <v>12</v>
      </c>
      <c r="B16" s="6" t="s">
        <v>27</v>
      </c>
      <c r="C16" s="11">
        <f>'11 - GUDAR'!E19</f>
        <v>0</v>
      </c>
      <c r="D16" s="11">
        <f>'11 - GUDAR'!F19</f>
        <v>-4983</v>
      </c>
      <c r="E16" s="10">
        <f>'11 - GUDAR'!G19</f>
        <v>-4983</v>
      </c>
      <c r="F16" s="9"/>
      <c r="G16" s="9"/>
      <c r="H16" s="9"/>
      <c r="I16" s="154" t="s">
        <v>28</v>
      </c>
      <c r="J16" s="155"/>
      <c r="K16" s="15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" x14ac:dyDescent="0.2">
      <c r="A17" s="7">
        <v>13</v>
      </c>
      <c r="B17" s="6" t="s">
        <v>29</v>
      </c>
      <c r="C17" s="11">
        <f>'12 - Idrottsnämnden'!E12</f>
        <v>30000</v>
      </c>
      <c r="D17" s="11">
        <f>'12 - Idrottsnämnden'!F12</f>
        <v>-87000</v>
      </c>
      <c r="E17" s="10">
        <f>'12 - Idrottsnämnden'!G12</f>
        <v>-57000</v>
      </c>
      <c r="F17" s="9"/>
      <c r="G17" s="9"/>
      <c r="H17" s="9"/>
      <c r="I17" s="154" t="s">
        <v>30</v>
      </c>
      <c r="J17" s="155"/>
      <c r="K17" s="15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" x14ac:dyDescent="0.2">
      <c r="A18" s="7">
        <v>14</v>
      </c>
      <c r="B18" s="6" t="s">
        <v>31</v>
      </c>
      <c r="C18" s="11">
        <f>'13 - IOR'!E17</f>
        <v>0</v>
      </c>
      <c r="D18" s="11">
        <f>'13 - IOR'!F17</f>
        <v>-69500</v>
      </c>
      <c r="E18" s="10">
        <f>'13 - IOR'!G17</f>
        <v>-69500</v>
      </c>
      <c r="F18" s="9"/>
      <c r="G18" s="9"/>
      <c r="H18" s="9"/>
      <c r="I18" s="154" t="s">
        <v>32</v>
      </c>
      <c r="J18" s="155"/>
      <c r="K18" s="15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" x14ac:dyDescent="0.2">
      <c r="A19" s="7">
        <v>15</v>
      </c>
      <c r="B19" s="6" t="s">
        <v>33</v>
      </c>
      <c r="C19" s="11">
        <f>'14 - IN'!E82</f>
        <v>47860</v>
      </c>
      <c r="D19" s="11">
        <f>'14 - IN'!F82</f>
        <v>-80304</v>
      </c>
      <c r="E19" s="10">
        <f>'14 - IN'!G82</f>
        <v>-32444</v>
      </c>
      <c r="F19" s="9"/>
      <c r="G19" s="9"/>
      <c r="H19" s="9"/>
      <c r="I19" s="154" t="s">
        <v>34</v>
      </c>
      <c r="J19" s="155"/>
      <c r="K19" s="15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" x14ac:dyDescent="0.2">
      <c r="A20" s="7">
        <v>16</v>
      </c>
      <c r="B20" s="6" t="s">
        <v>35</v>
      </c>
      <c r="C20" s="11">
        <f>'15 - JN'!E20</f>
        <v>0</v>
      </c>
      <c r="D20" s="11">
        <f>'15 - JN'!F20</f>
        <v>-13200</v>
      </c>
      <c r="E20" s="10">
        <f>'15 - JN'!G20</f>
        <v>-13200</v>
      </c>
      <c r="F20" s="9"/>
      <c r="G20" s="9"/>
      <c r="H20" s="9"/>
      <c r="I20" s="154" t="s">
        <v>36</v>
      </c>
      <c r="J20" s="155"/>
      <c r="K20" s="15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" x14ac:dyDescent="0.2">
      <c r="A21" s="7">
        <v>28</v>
      </c>
      <c r="B21" s="13" t="s">
        <v>37</v>
      </c>
      <c r="C21" s="11">
        <f>'16 - Kommunikationsgruppen'!E10</f>
        <v>0</v>
      </c>
      <c r="D21" s="11">
        <f>'16 - Kommunikationsgruppen'!F10</f>
        <v>-1600</v>
      </c>
      <c r="E21" s="10">
        <f>'16 - Kommunikationsgruppen'!G10</f>
        <v>-1600</v>
      </c>
      <c r="F21" s="9"/>
      <c r="G21" s="9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" x14ac:dyDescent="0.2">
      <c r="A22" s="7">
        <v>17</v>
      </c>
      <c r="B22" s="13" t="s">
        <v>38</v>
      </c>
      <c r="C22" s="8">
        <f>'17 - MKM'!E55</f>
        <v>478750</v>
      </c>
      <c r="D22" s="8">
        <f>'17 - MKM'!F55</f>
        <v>-478750</v>
      </c>
      <c r="E22" s="8">
        <f>'17 - MKM'!G55</f>
        <v>0</v>
      </c>
      <c r="F22" s="9"/>
      <c r="G22" s="9"/>
      <c r="H22" s="9"/>
      <c r="I22" s="154" t="s">
        <v>39</v>
      </c>
      <c r="J22" s="155"/>
      <c r="K22" s="15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" x14ac:dyDescent="0.2">
      <c r="A23" s="7">
        <v>18</v>
      </c>
      <c r="B23" s="13" t="s">
        <v>40</v>
      </c>
      <c r="C23" s="8">
        <f>'18 - Mottagningen'!E528</f>
        <v>557600</v>
      </c>
      <c r="D23" s="8">
        <f>'18 - Mottagningen'!F528</f>
        <v>-1359920</v>
      </c>
      <c r="E23" s="8">
        <f>'18 - Mottagningen'!G528</f>
        <v>-802320</v>
      </c>
      <c r="F23" s="9"/>
      <c r="G23" s="9"/>
      <c r="H23" s="9"/>
      <c r="I23" s="154" t="s">
        <v>41</v>
      </c>
      <c r="J23" s="155"/>
      <c r="K23" s="15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" x14ac:dyDescent="0.2">
      <c r="A24" s="7">
        <v>19</v>
      </c>
      <c r="B24" s="13" t="s">
        <v>42</v>
      </c>
      <c r="C24" s="8">
        <f>'19 - NLG'!E51</f>
        <v>528000</v>
      </c>
      <c r="D24" s="8">
        <f>'19 - NLG'!F51</f>
        <v>-224450</v>
      </c>
      <c r="E24" s="8">
        <f>'19 - NLG'!G51</f>
        <v>303550</v>
      </c>
      <c r="F24" s="9"/>
      <c r="G24" s="9"/>
      <c r="H24" s="9"/>
      <c r="I24" s="154" t="s">
        <v>43</v>
      </c>
      <c r="J24" s="155"/>
      <c r="K24" s="15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" x14ac:dyDescent="0.2">
      <c r="A25" s="7">
        <v>20</v>
      </c>
      <c r="B25" s="13" t="s">
        <v>44</v>
      </c>
      <c r="C25" s="8">
        <f>'20 - Prylmångleriet'!E22</f>
        <v>361000</v>
      </c>
      <c r="D25" s="8">
        <f>'20 - Prylmångleriet'!F22</f>
        <v>-351200</v>
      </c>
      <c r="E25" s="8">
        <f>'20 - Prylmångleriet'!G22</f>
        <v>9800</v>
      </c>
      <c r="F25" s="9"/>
      <c r="G25" s="9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" x14ac:dyDescent="0.2">
      <c r="A26" s="7">
        <v>21</v>
      </c>
      <c r="B26" s="13" t="s">
        <v>45</v>
      </c>
      <c r="C26" s="8">
        <f>'21 - QN'!E10</f>
        <v>0</v>
      </c>
      <c r="D26" s="8">
        <f>'21 - QN'!F10</f>
        <v>-19000</v>
      </c>
      <c r="E26" s="8">
        <f>'21 - QN'!G10</f>
        <v>-19000</v>
      </c>
      <c r="F26" s="9"/>
      <c r="G26" s="9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" x14ac:dyDescent="0.2">
      <c r="A27" s="7">
        <v>22</v>
      </c>
      <c r="B27" s="13" t="s">
        <v>46</v>
      </c>
      <c r="C27" s="14">
        <f>'22 - Redaqtionen'!E18</f>
        <v>6500</v>
      </c>
      <c r="D27" s="14">
        <f>'22 - Redaqtionen'!F18</f>
        <v>-24000</v>
      </c>
      <c r="E27" s="14">
        <f>'22 - Redaqtionen'!G18</f>
        <v>-17500</v>
      </c>
      <c r="F27" s="9"/>
      <c r="G27" s="9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" x14ac:dyDescent="0.2">
      <c r="A28" s="7">
        <v>24</v>
      </c>
      <c r="B28" s="13" t="s">
        <v>47</v>
      </c>
      <c r="C28" s="14">
        <f>'24 - SLG'!E62</f>
        <v>54160</v>
      </c>
      <c r="D28" s="14">
        <f>'24 - SLG'!F62</f>
        <v>-188444</v>
      </c>
      <c r="E28" s="14">
        <f>'24 - SLG'!G62</f>
        <v>-134284</v>
      </c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 x14ac:dyDescent="0.2">
      <c r="A29" s="7">
        <v>25</v>
      </c>
      <c r="B29" s="13" t="s">
        <v>48</v>
      </c>
      <c r="C29" s="14">
        <f>'25 - Studienämnden'!E19</f>
        <v>8400</v>
      </c>
      <c r="D29" s="14">
        <f>'25 - Studienämnden'!F19</f>
        <v>-48200</v>
      </c>
      <c r="E29" s="14">
        <f>'25 - Studienämnden'!G19</f>
        <v>-39800</v>
      </c>
      <c r="F29" s="9"/>
      <c r="G29" s="9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2">
      <c r="A30" s="7">
        <v>27</v>
      </c>
      <c r="B30" s="13" t="s">
        <v>49</v>
      </c>
      <c r="C30" s="14">
        <f>'205 - Valberedningen'!E26</f>
        <v>0</v>
      </c>
      <c r="D30" s="14">
        <f>'205 - Valberedningen'!F26</f>
        <v>-13050</v>
      </c>
      <c r="E30" s="14">
        <f>'205 - Valberedningen'!G26</f>
        <v>-13050</v>
      </c>
      <c r="F30" s="9"/>
      <c r="G30" s="9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" x14ac:dyDescent="0.2">
      <c r="A31" s="15">
        <v>104</v>
      </c>
      <c r="B31" s="16" t="s">
        <v>50</v>
      </c>
      <c r="C31" s="17">
        <f>'26 - Dive'!E20</f>
        <v>6000</v>
      </c>
      <c r="D31" s="17">
        <f>'26 - Dive'!F20</f>
        <v>-27000</v>
      </c>
      <c r="E31" s="17">
        <f>'26 - Dive'!G20</f>
        <v>-21000</v>
      </c>
      <c r="F31" s="9"/>
      <c r="G31" s="9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7"/>
      <c r="B32" s="18"/>
      <c r="C32" s="14"/>
      <c r="D32" s="14"/>
      <c r="E32" s="14"/>
      <c r="F32" s="9"/>
      <c r="G32" s="9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7"/>
      <c r="B33" s="18" t="s">
        <v>51</v>
      </c>
      <c r="C33" s="14">
        <f t="shared" ref="C33:E33" si="0">SUM(C7:C31)</f>
        <v>7251355</v>
      </c>
      <c r="D33" s="14">
        <f t="shared" si="0"/>
        <v>-6243221</v>
      </c>
      <c r="E33" s="14">
        <f t="shared" si="0"/>
        <v>1008134</v>
      </c>
      <c r="F33" s="9"/>
      <c r="G33" s="9"/>
      <c r="H33" s="9"/>
      <c r="I33" s="154"/>
      <c r="J33" s="155"/>
      <c r="K33" s="15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2">
      <c r="A34" s="7"/>
      <c r="B34" s="13"/>
      <c r="C34" s="17"/>
      <c r="D34" s="17"/>
      <c r="E34" s="17"/>
      <c r="F34" s="9"/>
      <c r="G34" s="9"/>
      <c r="H34" s="9"/>
      <c r="I34" s="154"/>
      <c r="J34" s="155"/>
      <c r="K34" s="15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7"/>
      <c r="B35" s="19" t="s">
        <v>52</v>
      </c>
      <c r="C35" s="17"/>
      <c r="D35" s="17"/>
      <c r="E35" s="17"/>
      <c r="F35" s="9"/>
      <c r="G35" s="9"/>
      <c r="H35" s="9"/>
      <c r="I35" s="154"/>
      <c r="J35" s="155"/>
      <c r="K35" s="15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 x14ac:dyDescent="0.2">
      <c r="A36" s="15">
        <v>103</v>
      </c>
      <c r="B36" s="16" t="s">
        <v>53</v>
      </c>
      <c r="C36" s="17">
        <f>'103 - Studs 2025'!E49</f>
        <v>807300</v>
      </c>
      <c r="D36" s="17">
        <f>'103 - Studs 2025'!F49</f>
        <v>-800960</v>
      </c>
      <c r="E36" s="17">
        <f>'103 - Studs 2025'!G49</f>
        <v>6340</v>
      </c>
      <c r="F36" s="9"/>
      <c r="G36" s="9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 x14ac:dyDescent="0.2">
      <c r="A37" s="15"/>
      <c r="B37" s="16" t="s">
        <v>54</v>
      </c>
      <c r="C37" s="17">
        <f>'109 - METAspexet 2026'!E139</f>
        <v>306400</v>
      </c>
      <c r="D37" s="17">
        <f>'109 - METAspexet 2026'!F139</f>
        <v>-373970</v>
      </c>
      <c r="E37" s="17">
        <f>'109 - METAspexet 2026'!G139</f>
        <v>-67570</v>
      </c>
      <c r="F37" s="9"/>
      <c r="G37" s="9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 x14ac:dyDescent="0.2">
      <c r="A38" s="15"/>
      <c r="B38" s="16" t="s">
        <v>55</v>
      </c>
      <c r="C38" s="17">
        <f>'Datas DansRevolution'!E8</f>
        <v>0</v>
      </c>
      <c r="D38" s="17">
        <f>'Datas DansRevolution'!F8</f>
        <v>-750</v>
      </c>
      <c r="E38" s="17">
        <f>'Datas DansRevolution'!G8</f>
        <v>-750</v>
      </c>
      <c r="F38" s="9"/>
      <c r="G38" s="9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2">
      <c r="A39" s="15"/>
      <c r="B39" s="16" t="s">
        <v>56</v>
      </c>
      <c r="C39" s="17">
        <f>'Vårbalen 2026'!E42</f>
        <v>121270</v>
      </c>
      <c r="D39" s="17">
        <f>'Vårbalen 2026'!F42</f>
        <v>-198721</v>
      </c>
      <c r="E39" s="17">
        <f>'Vårbalen 2026'!G42</f>
        <v>-77451</v>
      </c>
      <c r="F39" s="9"/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2">
      <c r="A40" s="15"/>
      <c r="B40" s="16"/>
      <c r="C40" s="17"/>
      <c r="D40" s="17"/>
      <c r="E40" s="17"/>
      <c r="F40" s="9"/>
      <c r="G40" s="9"/>
      <c r="H40" s="9"/>
      <c r="I40" s="154"/>
      <c r="J40" s="155"/>
      <c r="K40" s="15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5"/>
      <c r="B41" s="19" t="s">
        <v>57</v>
      </c>
      <c r="C41" s="20">
        <f t="shared" ref="C41:E41" si="1">SUM(C36:C38)</f>
        <v>1113700</v>
      </c>
      <c r="D41" s="20">
        <f t="shared" si="1"/>
        <v>-1175680</v>
      </c>
      <c r="E41" s="20">
        <f t="shared" si="1"/>
        <v>-61980</v>
      </c>
      <c r="F41" s="9"/>
      <c r="G41" s="9"/>
      <c r="H41" s="9"/>
      <c r="I41" s="154"/>
      <c r="J41" s="155"/>
      <c r="K41" s="15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2">
      <c r="A42" s="15"/>
      <c r="B42" s="16"/>
      <c r="C42" s="17"/>
      <c r="D42" s="17"/>
      <c r="E42" s="17"/>
      <c r="F42" s="9"/>
      <c r="G42" s="9"/>
      <c r="H42" s="9"/>
      <c r="I42" s="154"/>
      <c r="J42" s="155"/>
      <c r="K42" s="15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5"/>
      <c r="B43" s="19" t="s">
        <v>58</v>
      </c>
      <c r="C43" s="17"/>
      <c r="D43" s="17"/>
      <c r="E43" s="17"/>
      <c r="F43" s="9"/>
      <c r="G43" s="9"/>
      <c r="H43" s="9"/>
      <c r="I43" s="154"/>
      <c r="J43" s="155"/>
      <c r="K43" s="15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2">
      <c r="A44" s="7">
        <v>201</v>
      </c>
      <c r="B44" s="13" t="s">
        <v>59</v>
      </c>
      <c r="C44" s="17">
        <f>'201 - Centralt'!E35</f>
        <v>274000</v>
      </c>
      <c r="D44" s="17">
        <f>'201 - Centralt'!F35</f>
        <v>-356350</v>
      </c>
      <c r="E44" s="17">
        <f>'201 - Centralt'!G35</f>
        <v>-82350</v>
      </c>
      <c r="F44" s="9"/>
      <c r="G44" s="9"/>
      <c r="H44" s="9"/>
      <c r="I44" s="154"/>
      <c r="J44" s="155"/>
      <c r="K44" s="15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2">
      <c r="A45" s="7">
        <v>202</v>
      </c>
      <c r="B45" s="16" t="s">
        <v>60</v>
      </c>
      <c r="C45" s="17">
        <f>'202 - Beslutspengar - Engångsko'!E24</f>
        <v>0</v>
      </c>
      <c r="D45" s="17">
        <f>'202 - Beslutspengar - Engångsko'!F24</f>
        <v>-136650</v>
      </c>
      <c r="E45" s="17">
        <f>'202 - Beslutspengar - Engångsko'!G24</f>
        <v>-136650</v>
      </c>
      <c r="F45" s="9"/>
      <c r="G45" s="9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2">
      <c r="A46" s="7">
        <v>203</v>
      </c>
      <c r="B46" s="13" t="s">
        <v>61</v>
      </c>
      <c r="C46" s="17">
        <f>'203 - dFunk'!E27</f>
        <v>0</v>
      </c>
      <c r="D46" s="17">
        <f>'203 - dFunk'!F27</f>
        <v>-51000</v>
      </c>
      <c r="E46" s="17">
        <f>'203 - dFunk'!G27</f>
        <v>-48000</v>
      </c>
      <c r="F46" s="9"/>
      <c r="G46" s="9"/>
      <c r="H46" s="9"/>
      <c r="I46" s="154"/>
      <c r="J46" s="155"/>
      <c r="K46" s="15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2">
      <c r="A47" s="7">
        <v>204</v>
      </c>
      <c r="B47" s="13" t="s">
        <v>62</v>
      </c>
      <c r="C47" s="17">
        <f>'208 - Fanbärare'!E9</f>
        <v>0</v>
      </c>
      <c r="D47" s="17">
        <f>'208 - Fanbärare'!F9</f>
        <v>-2000</v>
      </c>
      <c r="E47" s="17">
        <f>'208 - Fanbärare'!G9</f>
        <v>-2000</v>
      </c>
      <c r="F47" s="9"/>
      <c r="G47" s="9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2">
      <c r="A48" s="7">
        <v>205</v>
      </c>
      <c r="B48" s="13" t="s">
        <v>63</v>
      </c>
      <c r="C48" s="17">
        <f>'209 - Kårfullmäktige'!E6</f>
        <v>0</v>
      </c>
      <c r="D48" s="17">
        <f>'209 - Kårfullmäktige'!F6</f>
        <v>-1500</v>
      </c>
      <c r="E48" s="17">
        <f>'209 - Kårfullmäktige'!G6</f>
        <v>0</v>
      </c>
      <c r="F48" s="9"/>
      <c r="G48" s="9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2">
      <c r="A49" s="7">
        <v>206</v>
      </c>
      <c r="B49" s="13" t="s">
        <v>64</v>
      </c>
      <c r="C49" s="17">
        <f>'206 - Revisorerna'!E8</f>
        <v>0</v>
      </c>
      <c r="D49" s="17">
        <f>'206 - Revisorerna'!F8</f>
        <v>-300</v>
      </c>
      <c r="E49" s="17">
        <f>'206 - Revisorerna'!G8</f>
        <v>0</v>
      </c>
      <c r="F49" s="9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2">
      <c r="A50" s="7">
        <v>207</v>
      </c>
      <c r="B50" s="13" t="s">
        <v>65</v>
      </c>
      <c r="C50" s="17">
        <f>'207 - Talmanspresidiet'!E9</f>
        <v>0</v>
      </c>
      <c r="D50" s="17">
        <f>'207 - Talmanspresidiet'!F9</f>
        <v>-1200</v>
      </c>
      <c r="E50" s="17">
        <f>'207 - Talmanspresidiet'!G9</f>
        <v>-1200</v>
      </c>
      <c r="F50" s="9"/>
      <c r="G50" s="9"/>
      <c r="H50" s="9"/>
      <c r="I50" s="154"/>
      <c r="J50" s="155"/>
      <c r="K50" s="15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2">
      <c r="A51" s="7"/>
      <c r="B51" s="13"/>
      <c r="C51" s="17"/>
      <c r="D51" s="17"/>
      <c r="E51" s="17"/>
      <c r="F51" s="9"/>
      <c r="G51" s="9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2">
      <c r="A52" s="7"/>
      <c r="B52" s="13" t="s">
        <v>66</v>
      </c>
      <c r="C52" s="17">
        <f>METAcraft!E9</f>
        <v>0</v>
      </c>
      <c r="D52" s="17">
        <f>METAcraft!F9</f>
        <v>-9250</v>
      </c>
      <c r="E52" s="17">
        <f>METAcraft!G9</f>
        <v>-9250</v>
      </c>
      <c r="F52" s="9"/>
      <c r="G52" s="9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2">
      <c r="A53" s="7"/>
      <c r="B53" s="13" t="s">
        <v>67</v>
      </c>
      <c r="C53" s="17">
        <f>'Tech-i-taka'!E19</f>
        <v>3000</v>
      </c>
      <c r="D53" s="17">
        <f>'Tech-i-taka'!F19</f>
        <v>-34200</v>
      </c>
      <c r="E53" s="17">
        <f>'Tech-i-taka'!G19</f>
        <v>-31200</v>
      </c>
      <c r="F53" s="9"/>
      <c r="G53" s="9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2">
      <c r="A54" s="7"/>
      <c r="B54" s="13" t="s">
        <v>68</v>
      </c>
      <c r="C54" s="14">
        <f>Scala!E9</f>
        <v>0</v>
      </c>
      <c r="D54" s="14">
        <f>Scala!F9</f>
        <v>-1650</v>
      </c>
      <c r="E54" s="14">
        <f>Scala!G9</f>
        <v>-1650</v>
      </c>
      <c r="F54" s="9"/>
      <c r="G54" s="9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2">
      <c r="A55" s="7"/>
      <c r="B55" s="6" t="s">
        <v>69</v>
      </c>
      <c r="C55" s="11">
        <f>Bakverket!E13</f>
        <v>0</v>
      </c>
      <c r="D55" s="11">
        <f>Bakverket!F13</f>
        <v>-11600</v>
      </c>
      <c r="E55" s="10">
        <f>Bakverket!G13</f>
        <v>-11600</v>
      </c>
      <c r="F55" s="9"/>
      <c r="G55" s="9"/>
      <c r="H55" s="9"/>
      <c r="I55" s="154"/>
      <c r="J55" s="155"/>
      <c r="K55" s="15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2">
      <c r="A56" s="7"/>
      <c r="B56" s="13"/>
      <c r="C56" s="17"/>
      <c r="D56" s="17"/>
      <c r="E56" s="17"/>
      <c r="F56" s="9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7"/>
      <c r="B57" s="19" t="s">
        <v>70</v>
      </c>
      <c r="C57" s="20">
        <f t="shared" ref="C57:E57" si="2">SUM(C44:C55)</f>
        <v>277000</v>
      </c>
      <c r="D57" s="20">
        <f t="shared" si="2"/>
        <v>-605700</v>
      </c>
      <c r="E57" s="20">
        <f t="shared" si="2"/>
        <v>-323900</v>
      </c>
      <c r="F57" s="9"/>
      <c r="G57" s="9"/>
      <c r="H57" s="9"/>
      <c r="I57" s="154"/>
      <c r="J57" s="155"/>
      <c r="K57" s="15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2">
      <c r="A58" s="15"/>
      <c r="B58" s="16"/>
      <c r="C58" s="17"/>
      <c r="D58" s="17"/>
      <c r="E58" s="17"/>
      <c r="F58" s="9"/>
      <c r="G58" s="9"/>
      <c r="H58" s="9"/>
      <c r="I58" s="154"/>
      <c r="J58" s="155"/>
      <c r="K58" s="15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5"/>
      <c r="B59" s="21" t="s">
        <v>71</v>
      </c>
      <c r="C59" s="22">
        <f t="shared" ref="C59:E59" si="3">C33+C41+C57</f>
        <v>8642055</v>
      </c>
      <c r="D59" s="22">
        <f t="shared" si="3"/>
        <v>-8024601</v>
      </c>
      <c r="E59" s="22">
        <f t="shared" si="3"/>
        <v>622254</v>
      </c>
      <c r="F59" s="9"/>
      <c r="G59" s="9"/>
      <c r="H59" s="9"/>
      <c r="I59" s="154"/>
      <c r="J59" s="155"/>
      <c r="K59" s="15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2">
      <c r="A60" s="15"/>
      <c r="B60" s="23"/>
      <c r="C60" s="20"/>
      <c r="D60" s="24"/>
      <c r="E60" s="20"/>
      <c r="F60" s="9"/>
      <c r="G60" s="9"/>
      <c r="H60" s="9"/>
      <c r="I60" s="154"/>
      <c r="J60" s="155"/>
      <c r="K60" s="15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2">
      <c r="A61" s="1"/>
      <c r="B61" s="1"/>
      <c r="C61" s="25"/>
      <c r="D61" s="25"/>
      <c r="E61" s="25"/>
      <c r="F61" s="1"/>
      <c r="G61" s="1"/>
      <c r="H61" s="1"/>
      <c r="I61" s="154"/>
      <c r="J61" s="155"/>
      <c r="K61" s="15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mergeCells count="43">
    <mergeCell ref="A1:B1"/>
    <mergeCell ref="C1:I1"/>
    <mergeCell ref="J1:K1"/>
    <mergeCell ref="B2:C2"/>
    <mergeCell ref="D2:G2"/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2:K22"/>
    <mergeCell ref="I23:K23"/>
    <mergeCell ref="I24:K24"/>
    <mergeCell ref="I33:K33"/>
    <mergeCell ref="I46:K46"/>
    <mergeCell ref="I50:K50"/>
    <mergeCell ref="I55:K55"/>
    <mergeCell ref="I34:K34"/>
    <mergeCell ref="I35:K35"/>
    <mergeCell ref="I40:K40"/>
    <mergeCell ref="I41:K41"/>
    <mergeCell ref="I42:K42"/>
    <mergeCell ref="I43:K43"/>
    <mergeCell ref="I44:K44"/>
    <mergeCell ref="I57:K57"/>
    <mergeCell ref="I58:K58"/>
    <mergeCell ref="I59:K59"/>
    <mergeCell ref="I60:K60"/>
    <mergeCell ref="I61:K61"/>
  </mergeCells>
  <conditionalFormatting sqref="C7:E61">
    <cfRule type="cellIs" dxfId="96" priority="1" operator="greaterThan">
      <formula>0</formula>
    </cfRule>
    <cfRule type="cellIs" dxfId="95" priority="2" operator="lessThan">
      <formula>0</formula>
    </cfRule>
  </conditionalFormatting>
  <hyperlinks>
    <hyperlink ref="I9" r:id="rId1" xr:uid="{00000000-0004-0000-0000-000000000000}"/>
    <hyperlink ref="I10" r:id="rId2" xr:uid="{00000000-0004-0000-0000-000001000000}"/>
    <hyperlink ref="I13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12.832031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</row>
    <row r="2" spans="1:10" ht="15.75" customHeight="1" x14ac:dyDescent="0.25">
      <c r="A2" s="26" t="s">
        <v>9</v>
      </c>
      <c r="B2" s="28"/>
      <c r="C2" s="28"/>
      <c r="D2" s="28"/>
      <c r="E2" s="29"/>
      <c r="F2" s="29"/>
      <c r="G2" s="29"/>
      <c r="H2" s="28"/>
      <c r="I2" s="28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1"/>
      <c r="J3" s="30"/>
    </row>
    <row r="4" spans="1:10" ht="15" x14ac:dyDescent="0.2">
      <c r="A4" s="1"/>
      <c r="B4" s="1"/>
      <c r="C4" s="1" t="s">
        <v>78</v>
      </c>
      <c r="D4" s="1">
        <v>4045</v>
      </c>
      <c r="E4" s="10">
        <v>0</v>
      </c>
      <c r="F4" s="10">
        <v>-2000</v>
      </c>
      <c r="G4" s="10"/>
      <c r="H4" s="1"/>
      <c r="I4" s="1"/>
      <c r="J4" s="30"/>
    </row>
    <row r="5" spans="1:10" ht="15" x14ac:dyDescent="0.2">
      <c r="A5" s="1"/>
      <c r="B5" s="1"/>
      <c r="C5" s="1" t="s">
        <v>79</v>
      </c>
      <c r="D5" s="1">
        <v>5411</v>
      </c>
      <c r="E5" s="10">
        <v>0</v>
      </c>
      <c r="F5" s="10">
        <v>-2000</v>
      </c>
      <c r="G5" s="10"/>
      <c r="H5" s="1"/>
      <c r="I5" s="1"/>
      <c r="J5" s="30"/>
    </row>
    <row r="6" spans="1:10" ht="15" x14ac:dyDescent="0.2">
      <c r="A6" s="1"/>
      <c r="B6" s="1"/>
      <c r="C6" s="1"/>
      <c r="D6" s="1"/>
      <c r="E6" s="10"/>
      <c r="F6" s="10"/>
      <c r="G6" s="10"/>
      <c r="H6" s="1"/>
      <c r="I6" s="1"/>
      <c r="J6" s="30"/>
    </row>
    <row r="7" spans="1:10" ht="15" x14ac:dyDescent="0.2">
      <c r="A7" s="1"/>
      <c r="B7" s="1"/>
      <c r="C7" s="25" t="s">
        <v>80</v>
      </c>
      <c r="D7" s="1"/>
      <c r="E7" s="10">
        <f t="shared" ref="E7:F7" si="0">SUM(E4:E5)</f>
        <v>0</v>
      </c>
      <c r="F7" s="10">
        <f t="shared" si="0"/>
        <v>-4000</v>
      </c>
      <c r="G7" s="10">
        <f>E7+F7</f>
        <v>-4000</v>
      </c>
      <c r="H7" s="1"/>
      <c r="I7" s="1"/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1"/>
      <c r="I8" s="1"/>
      <c r="J8" s="30"/>
    </row>
    <row r="9" spans="1:10" ht="15" x14ac:dyDescent="0.2">
      <c r="A9" s="1"/>
      <c r="B9" s="25" t="s">
        <v>81</v>
      </c>
      <c r="C9" s="1"/>
      <c r="D9" s="1"/>
      <c r="E9" s="10"/>
      <c r="F9" s="10"/>
      <c r="G9" s="10"/>
      <c r="H9" s="1"/>
      <c r="I9" s="1"/>
      <c r="J9" s="30"/>
    </row>
    <row r="10" spans="1:10" ht="15" x14ac:dyDescent="0.2">
      <c r="A10" s="1"/>
      <c r="B10" s="1"/>
      <c r="C10" s="1" t="s">
        <v>82</v>
      </c>
      <c r="D10" s="1">
        <v>7631</v>
      </c>
      <c r="E10" s="10">
        <v>0</v>
      </c>
      <c r="F10" s="10">
        <v>-3000</v>
      </c>
      <c r="G10" s="10"/>
      <c r="H10" s="1"/>
      <c r="I10" s="1"/>
      <c r="J10" s="30"/>
    </row>
    <row r="11" spans="1:10" ht="15" x14ac:dyDescent="0.2">
      <c r="A11" s="1"/>
      <c r="B11" s="1"/>
      <c r="C11" s="1" t="s">
        <v>83</v>
      </c>
      <c r="D11" s="1">
        <v>7691</v>
      </c>
      <c r="E11" s="10">
        <v>0</v>
      </c>
      <c r="F11" s="10">
        <v>-900</v>
      </c>
      <c r="G11" s="10"/>
      <c r="H11" s="1"/>
      <c r="I11" s="1"/>
      <c r="J11" s="30"/>
    </row>
    <row r="12" spans="1:10" ht="15" x14ac:dyDescent="0.2">
      <c r="A12" s="1"/>
      <c r="B12" s="1"/>
      <c r="C12" s="1" t="s">
        <v>84</v>
      </c>
      <c r="D12" s="1">
        <v>3044</v>
      </c>
      <c r="E12" s="10">
        <v>900</v>
      </c>
      <c r="F12" s="10">
        <v>0</v>
      </c>
      <c r="G12" s="10"/>
      <c r="H12" s="1"/>
      <c r="I12" s="1"/>
      <c r="J12" s="30"/>
    </row>
    <row r="13" spans="1:10" ht="15" x14ac:dyDescent="0.2">
      <c r="A13" s="1"/>
      <c r="B13" s="1"/>
      <c r="C13" s="1" t="s">
        <v>85</v>
      </c>
      <c r="D13" s="1">
        <v>4044</v>
      </c>
      <c r="E13" s="10">
        <v>0</v>
      </c>
      <c r="F13" s="10">
        <v>-1800</v>
      </c>
      <c r="G13" s="10"/>
      <c r="H13" s="1"/>
      <c r="I13" s="1"/>
      <c r="J13" s="30"/>
    </row>
    <row r="14" spans="1:10" ht="15" x14ac:dyDescent="0.2">
      <c r="A14" s="1"/>
      <c r="B14" s="1"/>
      <c r="C14" s="1"/>
      <c r="D14" s="1"/>
      <c r="E14" s="10"/>
      <c r="F14" s="10"/>
      <c r="G14" s="10"/>
      <c r="H14" s="1"/>
      <c r="I14" s="1"/>
      <c r="J14" s="30"/>
    </row>
    <row r="15" spans="1:10" ht="15" x14ac:dyDescent="0.2">
      <c r="A15" s="1"/>
      <c r="B15" s="1"/>
      <c r="C15" s="25" t="s">
        <v>80</v>
      </c>
      <c r="D15" s="1"/>
      <c r="E15" s="10">
        <f t="shared" ref="E15:F15" si="1">SUM(E10:E13)</f>
        <v>900</v>
      </c>
      <c r="F15" s="10">
        <f t="shared" si="1"/>
        <v>-5700</v>
      </c>
      <c r="G15" s="10">
        <f>E15+F15</f>
        <v>-4800</v>
      </c>
      <c r="H15" s="1"/>
      <c r="I15" s="1"/>
      <c r="J15" s="30"/>
    </row>
    <row r="16" spans="1:10" ht="15" x14ac:dyDescent="0.2">
      <c r="A16" s="1"/>
      <c r="B16" s="1"/>
      <c r="C16" s="1"/>
      <c r="D16" s="1"/>
      <c r="E16" s="10"/>
      <c r="F16" s="10"/>
      <c r="G16" s="10"/>
      <c r="H16" s="1"/>
      <c r="I16" s="1"/>
      <c r="J16" s="30"/>
    </row>
    <row r="17" spans="1:10" ht="15" x14ac:dyDescent="0.2">
      <c r="A17" s="1"/>
      <c r="B17" s="25" t="s">
        <v>86</v>
      </c>
      <c r="C17" s="1"/>
      <c r="D17" s="1"/>
      <c r="E17" s="10"/>
      <c r="F17" s="10"/>
      <c r="G17" s="10"/>
      <c r="H17" s="1" t="s">
        <v>87</v>
      </c>
      <c r="I17" s="1"/>
      <c r="J17" s="30"/>
    </row>
    <row r="18" spans="1:10" ht="15" x14ac:dyDescent="0.2">
      <c r="A18" s="1"/>
      <c r="B18" s="1"/>
      <c r="C18" s="1" t="s">
        <v>88</v>
      </c>
      <c r="D18" s="1" t="s">
        <v>89</v>
      </c>
      <c r="E18" s="10">
        <v>7150</v>
      </c>
      <c r="F18" s="10">
        <v>0</v>
      </c>
      <c r="G18" s="10"/>
      <c r="H18" s="1" t="s">
        <v>90</v>
      </c>
      <c r="I18" s="1"/>
      <c r="J18" s="30"/>
    </row>
    <row r="19" spans="1:10" ht="15" x14ac:dyDescent="0.2">
      <c r="A19" s="1"/>
      <c r="B19" s="1"/>
      <c r="C19" s="1" t="s">
        <v>91</v>
      </c>
      <c r="D19" s="1" t="s">
        <v>92</v>
      </c>
      <c r="E19" s="10">
        <v>0</v>
      </c>
      <c r="F19" s="10">
        <v>-1640</v>
      </c>
      <c r="G19" s="10"/>
      <c r="H19" s="1" t="s">
        <v>93</v>
      </c>
      <c r="I19" s="1"/>
      <c r="J19" s="30"/>
    </row>
    <row r="20" spans="1:10" ht="15" x14ac:dyDescent="0.2">
      <c r="A20" s="1"/>
      <c r="B20" s="1"/>
      <c r="C20" s="1" t="s">
        <v>94</v>
      </c>
      <c r="D20" s="1">
        <v>4029</v>
      </c>
      <c r="E20" s="10">
        <v>0</v>
      </c>
      <c r="F20" s="10">
        <v>-2400</v>
      </c>
      <c r="G20" s="10"/>
      <c r="H20" s="1" t="s">
        <v>95</v>
      </c>
      <c r="I20" s="1"/>
      <c r="J20" s="30"/>
    </row>
    <row r="21" spans="1:10" ht="15" x14ac:dyDescent="0.2">
      <c r="A21" s="1"/>
      <c r="B21" s="1"/>
      <c r="C21" s="1" t="s">
        <v>96</v>
      </c>
      <c r="D21" s="1">
        <v>5411</v>
      </c>
      <c r="E21" s="10">
        <v>0</v>
      </c>
      <c r="F21" s="10">
        <v>-800</v>
      </c>
      <c r="G21" s="10"/>
      <c r="H21" s="1"/>
      <c r="I21" s="1"/>
      <c r="J21" s="30"/>
    </row>
    <row r="22" spans="1:10" ht="15" x14ac:dyDescent="0.2">
      <c r="A22" s="1"/>
      <c r="B22" s="1"/>
      <c r="C22" s="1" t="s">
        <v>97</v>
      </c>
      <c r="D22" s="1">
        <v>7691</v>
      </c>
      <c r="E22" s="10">
        <v>0</v>
      </c>
      <c r="F22" s="10">
        <v>-200</v>
      </c>
      <c r="G22" s="10"/>
      <c r="H22" s="1"/>
      <c r="I22" s="1"/>
      <c r="J22" s="30"/>
    </row>
    <row r="23" spans="1:10" ht="15" x14ac:dyDescent="0.2">
      <c r="A23" s="1"/>
      <c r="B23" s="1"/>
      <c r="C23" s="1" t="s">
        <v>98</v>
      </c>
      <c r="D23" s="1">
        <v>5463</v>
      </c>
      <c r="E23" s="10">
        <v>0</v>
      </c>
      <c r="F23" s="10">
        <v>-400</v>
      </c>
      <c r="G23" s="10"/>
      <c r="H23" s="1"/>
      <c r="I23" s="1"/>
      <c r="J23" s="30"/>
    </row>
    <row r="24" spans="1:10" ht="15" x14ac:dyDescent="0.2">
      <c r="A24" s="1"/>
      <c r="B24" s="1"/>
      <c r="C24" s="1" t="s">
        <v>99</v>
      </c>
      <c r="D24" s="1">
        <v>4027</v>
      </c>
      <c r="E24" s="10">
        <v>0</v>
      </c>
      <c r="F24" s="10">
        <v>-1400</v>
      </c>
      <c r="G24" s="10"/>
      <c r="H24" s="1"/>
      <c r="I24" s="1"/>
      <c r="J24" s="30"/>
    </row>
    <row r="25" spans="1:10" ht="15" x14ac:dyDescent="0.2">
      <c r="A25" s="1"/>
      <c r="B25" s="1"/>
      <c r="C25" s="1"/>
      <c r="D25" s="1"/>
      <c r="E25" s="1"/>
      <c r="F25" s="1"/>
      <c r="G25" s="1"/>
      <c r="H25" s="1"/>
      <c r="I25" s="1"/>
      <c r="J25" s="30"/>
    </row>
    <row r="26" spans="1:10" ht="15" x14ac:dyDescent="0.2">
      <c r="A26" s="1"/>
      <c r="B26" s="1"/>
      <c r="C26" s="25" t="s">
        <v>80</v>
      </c>
      <c r="D26" s="1"/>
      <c r="E26" s="10">
        <f t="shared" ref="E26:F26" si="2">SUM(E18:E24)</f>
        <v>7150</v>
      </c>
      <c r="F26" s="10">
        <f t="shared" si="2"/>
        <v>-6840</v>
      </c>
      <c r="G26" s="10">
        <f>E26+F26</f>
        <v>310</v>
      </c>
      <c r="H26" s="1"/>
      <c r="I26" s="1"/>
      <c r="J26" s="30"/>
    </row>
    <row r="27" spans="1:10" ht="15" x14ac:dyDescent="0.2">
      <c r="A27" s="1"/>
      <c r="B27" s="25"/>
      <c r="C27" s="1"/>
      <c r="D27" s="1"/>
      <c r="E27" s="10"/>
      <c r="F27" s="10"/>
      <c r="G27" s="10"/>
      <c r="H27" s="1"/>
      <c r="I27" s="1"/>
      <c r="J27" s="30"/>
    </row>
    <row r="28" spans="1:10" ht="15" x14ac:dyDescent="0.2">
      <c r="A28" s="1"/>
      <c r="B28" s="25" t="s">
        <v>100</v>
      </c>
      <c r="C28" s="1"/>
      <c r="D28" s="1"/>
      <c r="E28" s="10"/>
      <c r="F28" s="10"/>
      <c r="G28" s="10"/>
      <c r="H28" s="1" t="s">
        <v>87</v>
      </c>
      <c r="I28" s="1"/>
      <c r="J28" s="30"/>
    </row>
    <row r="29" spans="1:10" ht="15" x14ac:dyDescent="0.2">
      <c r="A29" s="1"/>
      <c r="B29" s="1"/>
      <c r="C29" s="1" t="s">
        <v>88</v>
      </c>
      <c r="D29" s="1" t="s">
        <v>89</v>
      </c>
      <c r="E29" s="10">
        <v>7150</v>
      </c>
      <c r="F29" s="10">
        <v>0</v>
      </c>
      <c r="G29" s="10"/>
      <c r="H29" s="1" t="s">
        <v>90</v>
      </c>
      <c r="I29" s="1"/>
      <c r="J29" s="30"/>
    </row>
    <row r="30" spans="1:10" ht="15" x14ac:dyDescent="0.2">
      <c r="A30" s="1"/>
      <c r="B30" s="1"/>
      <c r="C30" s="1" t="s">
        <v>91</v>
      </c>
      <c r="D30" s="1" t="s">
        <v>92</v>
      </c>
      <c r="E30" s="10">
        <v>0</v>
      </c>
      <c r="F30" s="10">
        <v>-1640</v>
      </c>
      <c r="G30" s="10"/>
      <c r="H30" s="1" t="s">
        <v>93</v>
      </c>
      <c r="I30" s="1"/>
      <c r="J30" s="30"/>
    </row>
    <row r="31" spans="1:10" ht="15" x14ac:dyDescent="0.2">
      <c r="A31" s="1"/>
      <c r="B31" s="1"/>
      <c r="C31" s="1" t="s">
        <v>94</v>
      </c>
      <c r="D31" s="1">
        <v>4029</v>
      </c>
      <c r="E31" s="10">
        <v>0</v>
      </c>
      <c r="F31" s="10">
        <v>-2400</v>
      </c>
      <c r="G31" s="10"/>
      <c r="H31" s="1" t="s">
        <v>95</v>
      </c>
      <c r="I31" s="1"/>
      <c r="J31" s="30"/>
    </row>
    <row r="32" spans="1:10" ht="15" x14ac:dyDescent="0.2">
      <c r="A32" s="1"/>
      <c r="B32" s="1"/>
      <c r="C32" s="1" t="s">
        <v>101</v>
      </c>
      <c r="D32" s="1">
        <v>5010</v>
      </c>
      <c r="E32" s="10">
        <v>0</v>
      </c>
      <c r="F32" s="10">
        <v>-600</v>
      </c>
      <c r="G32" s="10"/>
      <c r="H32" s="1"/>
      <c r="I32" s="1"/>
      <c r="J32" s="30"/>
    </row>
    <row r="33" spans="1:10" ht="15" x14ac:dyDescent="0.2">
      <c r="A33" s="1"/>
      <c r="B33" s="1"/>
      <c r="C33" s="1" t="s">
        <v>96</v>
      </c>
      <c r="D33" s="1">
        <v>5411</v>
      </c>
      <c r="E33" s="10">
        <v>0</v>
      </c>
      <c r="F33" s="10">
        <v>-500</v>
      </c>
      <c r="G33" s="10"/>
      <c r="H33" s="1"/>
      <c r="I33" s="1"/>
      <c r="J33" s="30"/>
    </row>
    <row r="34" spans="1:10" ht="15" x14ac:dyDescent="0.2">
      <c r="A34" s="1"/>
      <c r="B34" s="1"/>
      <c r="C34" s="1" t="s">
        <v>97</v>
      </c>
      <c r="D34" s="1">
        <v>7691</v>
      </c>
      <c r="E34" s="10">
        <v>0</v>
      </c>
      <c r="F34" s="10">
        <v>-200</v>
      </c>
      <c r="G34" s="10"/>
      <c r="H34" s="1"/>
      <c r="I34" s="1"/>
      <c r="J34" s="30"/>
    </row>
    <row r="35" spans="1:10" ht="15" x14ac:dyDescent="0.2">
      <c r="A35" s="1"/>
      <c r="B35" s="1"/>
      <c r="C35" s="1" t="s">
        <v>98</v>
      </c>
      <c r="D35" s="1">
        <v>5463</v>
      </c>
      <c r="E35" s="10">
        <v>0</v>
      </c>
      <c r="F35" s="10">
        <v>-400</v>
      </c>
      <c r="G35" s="10"/>
      <c r="H35" s="1"/>
      <c r="I35" s="1"/>
      <c r="J35" s="30"/>
    </row>
    <row r="36" spans="1:10" ht="15" x14ac:dyDescent="0.2">
      <c r="A36" s="1"/>
      <c r="B36" s="1"/>
      <c r="C36" s="1" t="s">
        <v>99</v>
      </c>
      <c r="D36" s="1">
        <v>4027</v>
      </c>
      <c r="E36" s="10">
        <v>0</v>
      </c>
      <c r="F36" s="10">
        <v>-1100</v>
      </c>
      <c r="G36" s="10"/>
      <c r="H36" s="1"/>
      <c r="I36" s="1"/>
      <c r="J36" s="30"/>
    </row>
    <row r="37" spans="1:10" ht="15" x14ac:dyDescent="0.2">
      <c r="A37" s="1"/>
      <c r="B37" s="1"/>
      <c r="C37" s="1"/>
      <c r="D37" s="1"/>
      <c r="E37" s="1"/>
      <c r="F37" s="1"/>
      <c r="G37" s="1"/>
      <c r="H37" s="1"/>
      <c r="I37" s="1"/>
      <c r="J37" s="30"/>
    </row>
    <row r="38" spans="1:10" ht="15" x14ac:dyDescent="0.2">
      <c r="A38" s="1"/>
      <c r="B38" s="1"/>
      <c r="C38" s="25" t="s">
        <v>80</v>
      </c>
      <c r="D38" s="1"/>
      <c r="E38" s="10">
        <f t="shared" ref="E38:F38" si="3">SUM(E29:E36)</f>
        <v>7150</v>
      </c>
      <c r="F38" s="10">
        <f t="shared" si="3"/>
        <v>-6840</v>
      </c>
      <c r="G38" s="10">
        <f>E38+F38</f>
        <v>310</v>
      </c>
      <c r="H38" s="1"/>
      <c r="I38" s="1"/>
      <c r="J38" s="30"/>
    </row>
    <row r="39" spans="1:10" ht="15" x14ac:dyDescent="0.2">
      <c r="A39" s="1"/>
      <c r="B39" s="1"/>
      <c r="C39" s="1"/>
      <c r="D39" s="1"/>
      <c r="E39" s="10"/>
      <c r="F39" s="10"/>
      <c r="G39" s="10"/>
      <c r="H39" s="1"/>
      <c r="I39" s="1"/>
      <c r="J39" s="30"/>
    </row>
    <row r="40" spans="1:10" ht="15" x14ac:dyDescent="0.2">
      <c r="A40" s="1"/>
      <c r="B40" s="1"/>
      <c r="C40" s="25" t="s">
        <v>102</v>
      </c>
      <c r="D40" s="1"/>
      <c r="E40" s="31">
        <f t="shared" ref="E40:F40" si="4">SUMIFS(E2:E39,$C2:$C39,"Subsubtotal")</f>
        <v>15200</v>
      </c>
      <c r="F40" s="31">
        <f t="shared" si="4"/>
        <v>-23380</v>
      </c>
      <c r="G40" s="10">
        <f>SUM(G2:G39)</f>
        <v>-8180</v>
      </c>
      <c r="H40" s="1"/>
      <c r="I40" s="1"/>
      <c r="J40" s="30"/>
    </row>
    <row r="41" spans="1:10" ht="15" x14ac:dyDescent="0.2">
      <c r="A41" s="1"/>
      <c r="B41" s="1"/>
      <c r="C41" s="1"/>
      <c r="D41" s="1"/>
      <c r="E41" s="10"/>
      <c r="F41" s="10"/>
      <c r="G41" s="10"/>
      <c r="H41" s="1"/>
      <c r="I41" s="1"/>
      <c r="J41" s="30"/>
    </row>
    <row r="42" spans="1:10" ht="15" x14ac:dyDescent="0.2">
      <c r="A42" s="1"/>
      <c r="B42" s="1"/>
      <c r="C42" s="1"/>
      <c r="D42" s="1"/>
      <c r="E42" s="10"/>
      <c r="F42" s="10"/>
      <c r="G42" s="10"/>
      <c r="H42" s="1"/>
      <c r="I42" s="1"/>
      <c r="J42" s="30"/>
    </row>
    <row r="43" spans="1:10" ht="15.75" customHeight="1" x14ac:dyDescent="0.15">
      <c r="A43" s="30"/>
      <c r="B43" s="30"/>
      <c r="C43" s="30"/>
      <c r="D43" s="30"/>
      <c r="E43" s="32"/>
      <c r="F43" s="32"/>
      <c r="G43" s="32"/>
      <c r="H43" s="30"/>
      <c r="I43" s="30"/>
      <c r="J43" s="30"/>
    </row>
    <row r="44" spans="1:10" ht="15.75" customHeight="1" x14ac:dyDescent="0.15">
      <c r="A44" s="30"/>
      <c r="B44" s="30"/>
      <c r="C44" s="30"/>
      <c r="D44" s="30"/>
      <c r="E44" s="32"/>
      <c r="F44" s="32"/>
      <c r="G44" s="32"/>
      <c r="H44" s="30"/>
      <c r="I44" s="30"/>
      <c r="J44" s="30"/>
    </row>
    <row r="45" spans="1:10" ht="15.75" customHeight="1" x14ac:dyDescent="0.15">
      <c r="A45" s="30"/>
      <c r="B45" s="30"/>
      <c r="C45" s="30"/>
      <c r="D45" s="30"/>
      <c r="E45" s="32"/>
      <c r="F45" s="32"/>
      <c r="G45" s="32"/>
      <c r="H45" s="30"/>
      <c r="I45" s="30"/>
      <c r="J45" s="30"/>
    </row>
    <row r="46" spans="1:10" ht="15.75" customHeight="1" x14ac:dyDescent="0.15">
      <c r="E46" s="33"/>
      <c r="F46" s="33"/>
      <c r="G46" s="33"/>
    </row>
    <row r="47" spans="1:10" ht="15.75" customHeight="1" x14ac:dyDescent="0.15">
      <c r="E47" s="33"/>
      <c r="F47" s="33"/>
      <c r="G47" s="33"/>
    </row>
    <row r="48" spans="1:10" ht="15.75" customHeight="1" x14ac:dyDescent="0.15">
      <c r="E48" s="33"/>
      <c r="F48" s="33"/>
      <c r="G48" s="33"/>
    </row>
    <row r="49" spans="5:7" ht="15.75" customHeight="1" x14ac:dyDescent="0.15">
      <c r="E49" s="33"/>
      <c r="F49" s="33"/>
      <c r="G49" s="33"/>
    </row>
    <row r="50" spans="5:7" ht="15.75" customHeight="1" x14ac:dyDescent="0.15">
      <c r="E50" s="33"/>
      <c r="F50" s="33"/>
      <c r="G50" s="33"/>
    </row>
    <row r="51" spans="5:7" ht="15.75" customHeight="1" x14ac:dyDescent="0.15">
      <c r="E51" s="33"/>
      <c r="F51" s="33"/>
      <c r="G51" s="33"/>
    </row>
    <row r="52" spans="5:7" ht="15.75" customHeight="1" x14ac:dyDescent="0.15">
      <c r="E52" s="33"/>
      <c r="F52" s="33"/>
      <c r="G52" s="33"/>
    </row>
    <row r="53" spans="5:7" ht="15.75" customHeight="1" x14ac:dyDescent="0.15">
      <c r="E53" s="33"/>
      <c r="F53" s="33"/>
      <c r="G53" s="33"/>
    </row>
    <row r="54" spans="5:7" ht="15.75" customHeight="1" x14ac:dyDescent="0.15">
      <c r="E54" s="33"/>
      <c r="F54" s="33"/>
      <c r="G54" s="33"/>
    </row>
    <row r="55" spans="5:7" ht="15.75" customHeight="1" x14ac:dyDescent="0.15">
      <c r="E55" s="33"/>
      <c r="F55" s="33"/>
      <c r="G55" s="33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4" x14ac:dyDescent="0.2">
      <c r="E302" s="10"/>
      <c r="F302" s="10"/>
      <c r="G302" s="10"/>
    </row>
    <row r="303" spans="5:7" ht="14" x14ac:dyDescent="0.2">
      <c r="E303" s="10"/>
      <c r="F303" s="10"/>
      <c r="G303" s="10"/>
    </row>
    <row r="304" spans="5:7" ht="14" x14ac:dyDescent="0.2">
      <c r="E304" s="10"/>
      <c r="F304" s="10"/>
      <c r="G304" s="10"/>
    </row>
    <row r="305" spans="5:7" ht="14" x14ac:dyDescent="0.2">
      <c r="E305" s="10"/>
      <c r="F305" s="10"/>
      <c r="G305" s="10"/>
    </row>
    <row r="306" spans="5:7" ht="14" x14ac:dyDescent="0.2">
      <c r="E306" s="10"/>
      <c r="F306" s="10"/>
      <c r="G306" s="10"/>
    </row>
    <row r="307" spans="5:7" ht="14" x14ac:dyDescent="0.2">
      <c r="E307" s="10"/>
      <c r="F307" s="10"/>
      <c r="G307" s="10"/>
    </row>
    <row r="308" spans="5:7" ht="14" x14ac:dyDescent="0.2">
      <c r="E308" s="10"/>
      <c r="F308" s="10"/>
      <c r="G308" s="10"/>
    </row>
    <row r="309" spans="5:7" ht="14" x14ac:dyDescent="0.2">
      <c r="E309" s="10"/>
      <c r="F309" s="10"/>
      <c r="G309" s="10"/>
    </row>
    <row r="310" spans="5:7" ht="14" x14ac:dyDescent="0.2">
      <c r="E310" s="10"/>
      <c r="F310" s="10"/>
      <c r="G310" s="10"/>
    </row>
    <row r="311" spans="5:7" ht="14" x14ac:dyDescent="0.2">
      <c r="E311" s="10"/>
      <c r="F311" s="10"/>
      <c r="G311" s="10"/>
    </row>
    <row r="312" spans="5:7" ht="14" x14ac:dyDescent="0.2">
      <c r="E312" s="10"/>
      <c r="F312" s="10"/>
      <c r="G312" s="10"/>
    </row>
    <row r="313" spans="5:7" ht="14" x14ac:dyDescent="0.2">
      <c r="E313" s="10"/>
      <c r="F313" s="10"/>
      <c r="G313" s="10"/>
    </row>
    <row r="314" spans="5:7" ht="14" x14ac:dyDescent="0.2">
      <c r="E314" s="10"/>
      <c r="F314" s="10"/>
      <c r="G314" s="10"/>
    </row>
    <row r="315" spans="5:7" ht="14" x14ac:dyDescent="0.2">
      <c r="E315" s="10"/>
      <c r="F315" s="10"/>
      <c r="G315" s="10"/>
    </row>
    <row r="316" spans="5:7" ht="14" x14ac:dyDescent="0.2">
      <c r="E316" s="10"/>
      <c r="F316" s="10"/>
      <c r="G316" s="10"/>
    </row>
    <row r="317" spans="5:7" ht="14" x14ac:dyDescent="0.2">
      <c r="E317" s="10"/>
      <c r="F317" s="10"/>
      <c r="G317" s="10"/>
    </row>
    <row r="318" spans="5:7" ht="14" x14ac:dyDescent="0.2">
      <c r="E318" s="10"/>
      <c r="F318" s="10"/>
      <c r="G318" s="10"/>
    </row>
    <row r="319" spans="5:7" ht="14" x14ac:dyDescent="0.2">
      <c r="E319" s="10"/>
      <c r="F319" s="10"/>
      <c r="G319" s="10"/>
    </row>
    <row r="320" spans="5:7" ht="14" x14ac:dyDescent="0.2">
      <c r="E320" s="10"/>
      <c r="F320" s="10"/>
      <c r="G320" s="10"/>
    </row>
    <row r="321" spans="5:7" ht="14" x14ac:dyDescent="0.2">
      <c r="E321" s="10"/>
      <c r="F321" s="10"/>
      <c r="G321" s="10"/>
    </row>
    <row r="322" spans="5:7" ht="14" x14ac:dyDescent="0.2">
      <c r="E322" s="10"/>
      <c r="F322" s="10"/>
      <c r="G322" s="10"/>
    </row>
    <row r="323" spans="5:7" ht="14" x14ac:dyDescent="0.2">
      <c r="E323" s="10"/>
      <c r="F323" s="10"/>
      <c r="G323" s="10"/>
    </row>
    <row r="324" spans="5:7" ht="14" x14ac:dyDescent="0.2">
      <c r="E324" s="10"/>
      <c r="F324" s="10"/>
      <c r="G324" s="10"/>
    </row>
    <row r="325" spans="5:7" ht="14" x14ac:dyDescent="0.2">
      <c r="E325" s="10"/>
      <c r="F325" s="10"/>
      <c r="G325" s="10"/>
    </row>
    <row r="326" spans="5:7" ht="14" x14ac:dyDescent="0.2">
      <c r="E326" s="10"/>
      <c r="F326" s="10"/>
      <c r="G326" s="10"/>
    </row>
    <row r="327" spans="5:7" ht="14" x14ac:dyDescent="0.2">
      <c r="E327" s="10"/>
      <c r="F327" s="10"/>
      <c r="G327" s="10"/>
    </row>
    <row r="328" spans="5:7" ht="14" x14ac:dyDescent="0.2">
      <c r="E328" s="10"/>
      <c r="F328" s="10"/>
      <c r="G328" s="10"/>
    </row>
    <row r="329" spans="5:7" ht="14" x14ac:dyDescent="0.2">
      <c r="E329" s="10"/>
      <c r="F329" s="10"/>
      <c r="G329" s="10"/>
    </row>
    <row r="330" spans="5:7" ht="14" x14ac:dyDescent="0.2">
      <c r="E330" s="10"/>
      <c r="F330" s="10"/>
      <c r="G330" s="10"/>
    </row>
    <row r="331" spans="5:7" ht="14" x14ac:dyDescent="0.2">
      <c r="E331" s="10"/>
      <c r="F331" s="10"/>
      <c r="G331" s="10"/>
    </row>
    <row r="332" spans="5:7" ht="14" x14ac:dyDescent="0.2">
      <c r="E332" s="10"/>
      <c r="F332" s="10"/>
      <c r="G332" s="10"/>
    </row>
    <row r="333" spans="5:7" ht="14" x14ac:dyDescent="0.2">
      <c r="E333" s="10"/>
      <c r="F333" s="10"/>
      <c r="G333" s="10"/>
    </row>
    <row r="334" spans="5:7" ht="14" x14ac:dyDescent="0.2">
      <c r="E334" s="10"/>
      <c r="F334" s="10"/>
      <c r="G334" s="10"/>
    </row>
    <row r="335" spans="5:7" ht="14" x14ac:dyDescent="0.2">
      <c r="E335" s="10"/>
      <c r="F335" s="10"/>
      <c r="G335" s="10"/>
    </row>
    <row r="336" spans="5:7" ht="14" x14ac:dyDescent="0.2">
      <c r="E336" s="10"/>
      <c r="F336" s="10"/>
      <c r="G336" s="10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  <row r="721" spans="5:7" ht="13" x14ac:dyDescent="0.15">
      <c r="E721" s="33"/>
      <c r="F721" s="33"/>
      <c r="G721" s="33"/>
    </row>
    <row r="722" spans="5:7" ht="13" x14ac:dyDescent="0.15">
      <c r="E722" s="33"/>
      <c r="F722" s="33"/>
      <c r="G722" s="33"/>
    </row>
    <row r="723" spans="5:7" ht="13" x14ac:dyDescent="0.15">
      <c r="E723" s="33"/>
      <c r="F723" s="33"/>
      <c r="G723" s="33"/>
    </row>
    <row r="724" spans="5:7" ht="13" x14ac:dyDescent="0.15">
      <c r="E724" s="33"/>
      <c r="F724" s="33"/>
      <c r="G724" s="33"/>
    </row>
    <row r="725" spans="5:7" ht="13" x14ac:dyDescent="0.15">
      <c r="E725" s="33"/>
      <c r="F725" s="33"/>
      <c r="G725" s="33"/>
    </row>
    <row r="726" spans="5:7" ht="13" x14ac:dyDescent="0.15">
      <c r="E726" s="33"/>
      <c r="F726" s="33"/>
      <c r="G726" s="33"/>
    </row>
    <row r="727" spans="5:7" ht="13" x14ac:dyDescent="0.15">
      <c r="E727" s="33"/>
      <c r="F727" s="33"/>
      <c r="G727" s="33"/>
    </row>
    <row r="728" spans="5:7" ht="13" x14ac:dyDescent="0.15">
      <c r="E728" s="33"/>
      <c r="F728" s="33"/>
      <c r="G728" s="33"/>
    </row>
    <row r="729" spans="5:7" ht="13" x14ac:dyDescent="0.15">
      <c r="E729" s="33"/>
      <c r="F729" s="33"/>
      <c r="G729" s="33"/>
    </row>
    <row r="730" spans="5:7" ht="13" x14ac:dyDescent="0.15">
      <c r="E730" s="33"/>
      <c r="F730" s="33"/>
      <c r="G730" s="33"/>
    </row>
    <row r="731" spans="5:7" ht="13" x14ac:dyDescent="0.15">
      <c r="E731" s="33"/>
      <c r="F731" s="33"/>
      <c r="G731" s="33"/>
    </row>
    <row r="732" spans="5:7" ht="13" x14ac:dyDescent="0.15">
      <c r="E732" s="33"/>
      <c r="F732" s="33"/>
      <c r="G732" s="33"/>
    </row>
    <row r="733" spans="5:7" ht="13" x14ac:dyDescent="0.15">
      <c r="E733" s="33"/>
      <c r="F733" s="33"/>
      <c r="G733" s="33"/>
    </row>
    <row r="734" spans="5:7" ht="13" x14ac:dyDescent="0.15">
      <c r="E734" s="33"/>
      <c r="F734" s="33"/>
      <c r="G734" s="33"/>
    </row>
    <row r="735" spans="5:7" ht="13" x14ac:dyDescent="0.15">
      <c r="E735" s="33"/>
      <c r="F735" s="33"/>
      <c r="G735" s="33"/>
    </row>
    <row r="736" spans="5:7" ht="13" x14ac:dyDescent="0.15">
      <c r="E736" s="33"/>
      <c r="F736" s="33"/>
      <c r="G736" s="33"/>
    </row>
    <row r="737" spans="5:7" ht="13" x14ac:dyDescent="0.15">
      <c r="E737" s="33"/>
      <c r="F737" s="33"/>
      <c r="G737" s="33"/>
    </row>
    <row r="738" spans="5:7" ht="13" x14ac:dyDescent="0.15">
      <c r="E738" s="33"/>
      <c r="F738" s="33"/>
      <c r="G738" s="33"/>
    </row>
    <row r="739" spans="5:7" ht="13" x14ac:dyDescent="0.15">
      <c r="E739" s="33"/>
      <c r="F739" s="33"/>
      <c r="G739" s="33"/>
    </row>
    <row r="740" spans="5:7" ht="13" x14ac:dyDescent="0.15">
      <c r="E740" s="33"/>
      <c r="F740" s="33"/>
      <c r="G740" s="33"/>
    </row>
    <row r="741" spans="5:7" ht="13" x14ac:dyDescent="0.15">
      <c r="E741" s="33"/>
      <c r="F741" s="33"/>
      <c r="G741" s="33"/>
    </row>
    <row r="742" spans="5:7" ht="13" x14ac:dyDescent="0.15">
      <c r="E742" s="33"/>
      <c r="F742" s="33"/>
      <c r="G742" s="33"/>
    </row>
    <row r="743" spans="5:7" ht="13" x14ac:dyDescent="0.15">
      <c r="E743" s="33"/>
      <c r="F743" s="33"/>
      <c r="G743" s="33"/>
    </row>
    <row r="744" spans="5:7" ht="13" x14ac:dyDescent="0.15">
      <c r="E744" s="33"/>
      <c r="F744" s="33"/>
      <c r="G744" s="33"/>
    </row>
    <row r="745" spans="5:7" ht="13" x14ac:dyDescent="0.15">
      <c r="E745" s="33"/>
      <c r="F745" s="33"/>
      <c r="G745" s="33"/>
    </row>
    <row r="746" spans="5:7" ht="13" x14ac:dyDescent="0.15">
      <c r="E746" s="33"/>
      <c r="F746" s="33"/>
      <c r="G746" s="33"/>
    </row>
    <row r="747" spans="5:7" ht="13" x14ac:dyDescent="0.15">
      <c r="E747" s="33"/>
      <c r="F747" s="33"/>
      <c r="G747" s="33"/>
    </row>
    <row r="748" spans="5:7" ht="13" x14ac:dyDescent="0.15">
      <c r="E748" s="33"/>
      <c r="F748" s="33"/>
      <c r="G748" s="33"/>
    </row>
    <row r="749" spans="5:7" ht="13" x14ac:dyDescent="0.15">
      <c r="E749" s="33"/>
      <c r="F749" s="33"/>
      <c r="G749" s="33"/>
    </row>
    <row r="750" spans="5:7" ht="13" x14ac:dyDescent="0.15">
      <c r="E750" s="33"/>
      <c r="F750" s="33"/>
      <c r="G750" s="33"/>
    </row>
    <row r="751" spans="5:7" ht="13" x14ac:dyDescent="0.15">
      <c r="E751" s="33"/>
      <c r="F751" s="33"/>
      <c r="G751" s="33"/>
    </row>
    <row r="752" spans="5:7" ht="13" x14ac:dyDescent="0.15">
      <c r="E752" s="33"/>
      <c r="F752" s="33"/>
      <c r="G752" s="33"/>
    </row>
    <row r="753" spans="5:7" ht="13" x14ac:dyDescent="0.15">
      <c r="E753" s="33"/>
      <c r="F753" s="33"/>
      <c r="G753" s="33"/>
    </row>
    <row r="754" spans="5:7" ht="13" x14ac:dyDescent="0.15">
      <c r="E754" s="33"/>
      <c r="F754" s="33"/>
      <c r="G754" s="33"/>
    </row>
    <row r="755" spans="5:7" ht="13" x14ac:dyDescent="0.15">
      <c r="E755" s="33"/>
      <c r="F755" s="33"/>
      <c r="G755" s="33"/>
    </row>
    <row r="756" spans="5:7" ht="13" x14ac:dyDescent="0.15">
      <c r="E756" s="33"/>
      <c r="F756" s="33"/>
      <c r="G756" s="33"/>
    </row>
    <row r="757" spans="5:7" ht="13" x14ac:dyDescent="0.15">
      <c r="E757" s="33"/>
      <c r="F757" s="33"/>
      <c r="G757" s="33"/>
    </row>
    <row r="758" spans="5:7" ht="13" x14ac:dyDescent="0.15">
      <c r="E758" s="33"/>
      <c r="F758" s="33"/>
      <c r="G758" s="33"/>
    </row>
    <row r="759" spans="5:7" ht="13" x14ac:dyDescent="0.15">
      <c r="E759" s="33"/>
      <c r="F759" s="33"/>
      <c r="G759" s="33"/>
    </row>
    <row r="760" spans="5:7" ht="13" x14ac:dyDescent="0.15">
      <c r="E760" s="33"/>
      <c r="F760" s="33"/>
      <c r="G760" s="33"/>
    </row>
    <row r="761" spans="5:7" ht="13" x14ac:dyDescent="0.15">
      <c r="E761" s="33"/>
      <c r="F761" s="33"/>
      <c r="G761" s="33"/>
    </row>
    <row r="762" spans="5:7" ht="13" x14ac:dyDescent="0.15">
      <c r="E762" s="33"/>
      <c r="F762" s="33"/>
      <c r="G762" s="33"/>
    </row>
    <row r="763" spans="5:7" ht="13" x14ac:dyDescent="0.15">
      <c r="E763" s="33"/>
      <c r="F763" s="33"/>
      <c r="G763" s="33"/>
    </row>
    <row r="764" spans="5:7" ht="13" x14ac:dyDescent="0.15">
      <c r="E764" s="33"/>
      <c r="F764" s="33"/>
      <c r="G764" s="33"/>
    </row>
    <row r="765" spans="5:7" ht="13" x14ac:dyDescent="0.15">
      <c r="E765" s="33"/>
      <c r="F765" s="33"/>
      <c r="G765" s="33"/>
    </row>
    <row r="766" spans="5:7" ht="13" x14ac:dyDescent="0.15">
      <c r="E766" s="33"/>
      <c r="F766" s="33"/>
      <c r="G766" s="33"/>
    </row>
    <row r="767" spans="5:7" ht="13" x14ac:dyDescent="0.15">
      <c r="E767" s="33"/>
      <c r="F767" s="33"/>
      <c r="G767" s="33"/>
    </row>
    <row r="768" spans="5:7" ht="13" x14ac:dyDescent="0.15">
      <c r="E768" s="33"/>
      <c r="F768" s="33"/>
      <c r="G768" s="33"/>
    </row>
    <row r="769" spans="5:7" ht="13" x14ac:dyDescent="0.15">
      <c r="E769" s="33"/>
      <c r="F769" s="33"/>
      <c r="G769" s="33"/>
    </row>
    <row r="770" spans="5:7" ht="13" x14ac:dyDescent="0.15">
      <c r="E770" s="33"/>
      <c r="F770" s="33"/>
      <c r="G770" s="33"/>
    </row>
    <row r="771" spans="5:7" ht="13" x14ac:dyDescent="0.15">
      <c r="E771" s="33"/>
      <c r="F771" s="33"/>
      <c r="G771" s="33"/>
    </row>
    <row r="772" spans="5:7" ht="13" x14ac:dyDescent="0.15">
      <c r="E772" s="33"/>
      <c r="F772" s="33"/>
      <c r="G772" s="33"/>
    </row>
    <row r="773" spans="5:7" ht="13" x14ac:dyDescent="0.15">
      <c r="E773" s="33"/>
      <c r="F773" s="33"/>
      <c r="G773" s="33"/>
    </row>
    <row r="774" spans="5:7" ht="13" x14ac:dyDescent="0.15">
      <c r="E774" s="33"/>
      <c r="F774" s="33"/>
      <c r="G774" s="33"/>
    </row>
    <row r="775" spans="5:7" ht="13" x14ac:dyDescent="0.15">
      <c r="E775" s="33"/>
      <c r="F775" s="33"/>
      <c r="G775" s="33"/>
    </row>
    <row r="776" spans="5:7" ht="13" x14ac:dyDescent="0.15">
      <c r="E776" s="33"/>
      <c r="F776" s="33"/>
      <c r="G776" s="33"/>
    </row>
    <row r="777" spans="5:7" ht="13" x14ac:dyDescent="0.15">
      <c r="E777" s="33"/>
      <c r="F777" s="33"/>
      <c r="G777" s="33"/>
    </row>
    <row r="778" spans="5:7" ht="13" x14ac:dyDescent="0.15">
      <c r="E778" s="33"/>
      <c r="F778" s="33"/>
      <c r="G778" s="33"/>
    </row>
    <row r="779" spans="5:7" ht="13" x14ac:dyDescent="0.15">
      <c r="E779" s="33"/>
      <c r="F779" s="33"/>
      <c r="G779" s="33"/>
    </row>
    <row r="780" spans="5:7" ht="13" x14ac:dyDescent="0.15">
      <c r="E780" s="33"/>
      <c r="F780" s="33"/>
      <c r="G780" s="33"/>
    </row>
    <row r="781" spans="5:7" ht="13" x14ac:dyDescent="0.15">
      <c r="E781" s="33"/>
      <c r="F781" s="33"/>
      <c r="G781" s="33"/>
    </row>
    <row r="782" spans="5:7" ht="13" x14ac:dyDescent="0.15">
      <c r="E782" s="33"/>
      <c r="F782" s="33"/>
      <c r="G782" s="33"/>
    </row>
    <row r="783" spans="5:7" ht="13" x14ac:dyDescent="0.15">
      <c r="E783" s="33"/>
      <c r="F783" s="33"/>
      <c r="G783" s="33"/>
    </row>
    <row r="784" spans="5:7" ht="13" x14ac:dyDescent="0.15">
      <c r="E784" s="33"/>
      <c r="F784" s="33"/>
      <c r="G784" s="33"/>
    </row>
    <row r="785" spans="5:7" ht="13" x14ac:dyDescent="0.15">
      <c r="E785" s="33"/>
      <c r="F785" s="33"/>
      <c r="G785" s="33"/>
    </row>
    <row r="786" spans="5:7" ht="13" x14ac:dyDescent="0.15">
      <c r="E786" s="33"/>
      <c r="F786" s="33"/>
      <c r="G786" s="33"/>
    </row>
    <row r="787" spans="5:7" ht="13" x14ac:dyDescent="0.15">
      <c r="E787" s="33"/>
      <c r="F787" s="33"/>
      <c r="G787" s="33"/>
    </row>
    <row r="788" spans="5:7" ht="13" x14ac:dyDescent="0.15">
      <c r="E788" s="33"/>
      <c r="F788" s="33"/>
      <c r="G788" s="33"/>
    </row>
    <row r="789" spans="5:7" ht="13" x14ac:dyDescent="0.15">
      <c r="E789" s="33"/>
      <c r="F789" s="33"/>
      <c r="G789" s="33"/>
    </row>
    <row r="790" spans="5:7" ht="13" x14ac:dyDescent="0.15">
      <c r="E790" s="33"/>
      <c r="F790" s="33"/>
      <c r="G790" s="33"/>
    </row>
    <row r="791" spans="5:7" ht="13" x14ac:dyDescent="0.15">
      <c r="E791" s="33"/>
      <c r="F791" s="33"/>
      <c r="G791" s="33"/>
    </row>
    <row r="792" spans="5:7" ht="13" x14ac:dyDescent="0.15">
      <c r="E792" s="33"/>
      <c r="F792" s="33"/>
      <c r="G792" s="33"/>
    </row>
    <row r="793" spans="5:7" ht="13" x14ac:dyDescent="0.15">
      <c r="E793" s="33"/>
      <c r="F793" s="33"/>
      <c r="G793" s="33"/>
    </row>
    <row r="794" spans="5:7" ht="13" x14ac:dyDescent="0.15">
      <c r="E794" s="33"/>
      <c r="F794" s="33"/>
      <c r="G794" s="33"/>
    </row>
    <row r="795" spans="5:7" ht="13" x14ac:dyDescent="0.15">
      <c r="E795" s="33"/>
      <c r="F795" s="33"/>
      <c r="G795" s="33"/>
    </row>
    <row r="796" spans="5:7" ht="13" x14ac:dyDescent="0.15">
      <c r="E796" s="33"/>
      <c r="F796" s="33"/>
      <c r="G796" s="33"/>
    </row>
    <row r="797" spans="5:7" ht="13" x14ac:dyDescent="0.15">
      <c r="E797" s="33"/>
      <c r="F797" s="33"/>
      <c r="G797" s="33"/>
    </row>
    <row r="798" spans="5:7" ht="13" x14ac:dyDescent="0.15">
      <c r="E798" s="33"/>
      <c r="F798" s="33"/>
      <c r="G798" s="33"/>
    </row>
    <row r="799" spans="5:7" ht="13" x14ac:dyDescent="0.15">
      <c r="E799" s="33"/>
      <c r="F799" s="33"/>
      <c r="G799" s="33"/>
    </row>
    <row r="800" spans="5:7" ht="13" x14ac:dyDescent="0.15">
      <c r="E800" s="33"/>
      <c r="F800" s="33"/>
      <c r="G800" s="33"/>
    </row>
    <row r="801" spans="5:7" ht="13" x14ac:dyDescent="0.15">
      <c r="E801" s="33"/>
      <c r="F801" s="33"/>
      <c r="G801" s="33"/>
    </row>
    <row r="802" spans="5:7" ht="13" x14ac:dyDescent="0.15">
      <c r="E802" s="33"/>
      <c r="F802" s="33"/>
      <c r="G802" s="33"/>
    </row>
    <row r="803" spans="5:7" ht="13" x14ac:dyDescent="0.15">
      <c r="E803" s="33"/>
      <c r="F803" s="33"/>
      <c r="G803" s="33"/>
    </row>
    <row r="804" spans="5:7" ht="13" x14ac:dyDescent="0.15">
      <c r="E804" s="33"/>
      <c r="F804" s="33"/>
      <c r="G804" s="33"/>
    </row>
    <row r="805" spans="5:7" ht="13" x14ac:dyDescent="0.15">
      <c r="E805" s="33"/>
      <c r="F805" s="33"/>
      <c r="G805" s="33"/>
    </row>
    <row r="806" spans="5:7" ht="13" x14ac:dyDescent="0.15">
      <c r="E806" s="33"/>
      <c r="F806" s="33"/>
      <c r="G806" s="33"/>
    </row>
    <row r="807" spans="5:7" ht="13" x14ac:dyDescent="0.15">
      <c r="E807" s="33"/>
      <c r="F807" s="33"/>
      <c r="G807" s="33"/>
    </row>
    <row r="808" spans="5:7" ht="13" x14ac:dyDescent="0.15">
      <c r="E808" s="33"/>
      <c r="F808" s="33"/>
      <c r="G808" s="33"/>
    </row>
    <row r="809" spans="5:7" ht="13" x14ac:dyDescent="0.15">
      <c r="E809" s="33"/>
      <c r="F809" s="33"/>
      <c r="G809" s="33"/>
    </row>
    <row r="810" spans="5:7" ht="13" x14ac:dyDescent="0.15">
      <c r="E810" s="33"/>
      <c r="F810" s="33"/>
      <c r="G810" s="33"/>
    </row>
    <row r="811" spans="5:7" ht="13" x14ac:dyDescent="0.15">
      <c r="E811" s="33"/>
      <c r="F811" s="33"/>
      <c r="G811" s="33"/>
    </row>
    <row r="812" spans="5:7" ht="13" x14ac:dyDescent="0.15">
      <c r="E812" s="33"/>
      <c r="F812" s="33"/>
      <c r="G812" s="33"/>
    </row>
    <row r="813" spans="5:7" ht="13" x14ac:dyDescent="0.15">
      <c r="E813" s="33"/>
      <c r="F813" s="33"/>
      <c r="G813" s="33"/>
    </row>
    <row r="814" spans="5:7" ht="13" x14ac:dyDescent="0.15">
      <c r="E814" s="33"/>
      <c r="F814" s="33"/>
      <c r="G814" s="33"/>
    </row>
    <row r="815" spans="5:7" ht="13" x14ac:dyDescent="0.15">
      <c r="E815" s="33"/>
      <c r="F815" s="33"/>
      <c r="G815" s="33"/>
    </row>
    <row r="816" spans="5:7" ht="13" x14ac:dyDescent="0.15">
      <c r="E816" s="33"/>
      <c r="F816" s="33"/>
      <c r="G816" s="33"/>
    </row>
    <row r="817" spans="5:7" ht="13" x14ac:dyDescent="0.15">
      <c r="E817" s="33"/>
      <c r="F817" s="33"/>
      <c r="G817" s="33"/>
    </row>
    <row r="818" spans="5:7" ht="13" x14ac:dyDescent="0.15">
      <c r="E818" s="33"/>
      <c r="F818" s="33"/>
      <c r="G818" s="33"/>
    </row>
    <row r="819" spans="5:7" ht="13" x14ac:dyDescent="0.15">
      <c r="E819" s="33"/>
      <c r="F819" s="33"/>
      <c r="G819" s="33"/>
    </row>
    <row r="820" spans="5:7" ht="13" x14ac:dyDescent="0.15">
      <c r="E820" s="33"/>
      <c r="F820" s="33"/>
      <c r="G820" s="33"/>
    </row>
    <row r="821" spans="5:7" ht="13" x14ac:dyDescent="0.15">
      <c r="E821" s="33"/>
      <c r="F821" s="33"/>
      <c r="G821" s="33"/>
    </row>
    <row r="822" spans="5:7" ht="13" x14ac:dyDescent="0.15">
      <c r="E822" s="33"/>
      <c r="F822" s="33"/>
      <c r="G822" s="33"/>
    </row>
    <row r="823" spans="5:7" ht="13" x14ac:dyDescent="0.15">
      <c r="E823" s="33"/>
      <c r="F823" s="33"/>
      <c r="G823" s="33"/>
    </row>
    <row r="824" spans="5:7" ht="13" x14ac:dyDescent="0.15">
      <c r="E824" s="33"/>
      <c r="F824" s="33"/>
      <c r="G824" s="33"/>
    </row>
    <row r="825" spans="5:7" ht="13" x14ac:dyDescent="0.15">
      <c r="E825" s="33"/>
      <c r="F825" s="33"/>
      <c r="G825" s="33"/>
    </row>
    <row r="826" spans="5:7" ht="13" x14ac:dyDescent="0.15">
      <c r="E826" s="33"/>
      <c r="F826" s="33"/>
      <c r="G826" s="33"/>
    </row>
    <row r="827" spans="5:7" ht="13" x14ac:dyDescent="0.15">
      <c r="E827" s="33"/>
      <c r="F827" s="33"/>
      <c r="G827" s="33"/>
    </row>
    <row r="828" spans="5:7" ht="13" x14ac:dyDescent="0.15">
      <c r="E828" s="33"/>
      <c r="F828" s="33"/>
      <c r="G828" s="33"/>
    </row>
    <row r="829" spans="5:7" ht="13" x14ac:dyDescent="0.15">
      <c r="E829" s="33"/>
      <c r="F829" s="33"/>
      <c r="G829" s="33"/>
    </row>
    <row r="830" spans="5:7" ht="13" x14ac:dyDescent="0.15">
      <c r="E830" s="33"/>
      <c r="F830" s="33"/>
      <c r="G830" s="33"/>
    </row>
    <row r="831" spans="5:7" ht="13" x14ac:dyDescent="0.15">
      <c r="E831" s="33"/>
      <c r="F831" s="33"/>
      <c r="G831" s="33"/>
    </row>
    <row r="832" spans="5:7" ht="13" x14ac:dyDescent="0.15">
      <c r="E832" s="33"/>
      <c r="F832" s="33"/>
      <c r="G832" s="33"/>
    </row>
    <row r="833" spans="5:7" ht="13" x14ac:dyDescent="0.15">
      <c r="E833" s="33"/>
      <c r="F833" s="33"/>
      <c r="G833" s="33"/>
    </row>
    <row r="834" spans="5:7" ht="13" x14ac:dyDescent="0.15">
      <c r="E834" s="33"/>
      <c r="F834" s="33"/>
      <c r="G834" s="33"/>
    </row>
    <row r="835" spans="5:7" ht="13" x14ac:dyDescent="0.15">
      <c r="E835" s="33"/>
      <c r="F835" s="33"/>
      <c r="G835" s="33"/>
    </row>
    <row r="836" spans="5:7" ht="13" x14ac:dyDescent="0.15">
      <c r="E836" s="33"/>
      <c r="F836" s="33"/>
      <c r="G836" s="33"/>
    </row>
    <row r="837" spans="5:7" ht="13" x14ac:dyDescent="0.15">
      <c r="E837" s="33"/>
      <c r="F837" s="33"/>
      <c r="G837" s="33"/>
    </row>
    <row r="838" spans="5:7" ht="13" x14ac:dyDescent="0.15">
      <c r="E838" s="33"/>
      <c r="F838" s="33"/>
      <c r="G838" s="33"/>
    </row>
    <row r="839" spans="5:7" ht="13" x14ac:dyDescent="0.15">
      <c r="E839" s="33"/>
      <c r="F839" s="33"/>
      <c r="G839" s="33"/>
    </row>
    <row r="840" spans="5:7" ht="13" x14ac:dyDescent="0.15">
      <c r="E840" s="33"/>
      <c r="F840" s="33"/>
      <c r="G840" s="33"/>
    </row>
    <row r="841" spans="5:7" ht="13" x14ac:dyDescent="0.15">
      <c r="E841" s="33"/>
      <c r="F841" s="33"/>
      <c r="G841" s="33"/>
    </row>
    <row r="842" spans="5:7" ht="13" x14ac:dyDescent="0.15">
      <c r="E842" s="33"/>
      <c r="F842" s="33"/>
      <c r="G842" s="33"/>
    </row>
    <row r="843" spans="5:7" ht="13" x14ac:dyDescent="0.15">
      <c r="E843" s="33"/>
      <c r="F843" s="33"/>
      <c r="G843" s="33"/>
    </row>
    <row r="844" spans="5:7" ht="13" x14ac:dyDescent="0.15">
      <c r="E844" s="33"/>
      <c r="F844" s="33"/>
      <c r="G844" s="33"/>
    </row>
    <row r="845" spans="5:7" ht="13" x14ac:dyDescent="0.15">
      <c r="E845" s="33"/>
      <c r="F845" s="33"/>
      <c r="G845" s="33"/>
    </row>
    <row r="846" spans="5:7" ht="13" x14ac:dyDescent="0.15">
      <c r="E846" s="33"/>
      <c r="F846" s="33"/>
      <c r="G846" s="33"/>
    </row>
    <row r="847" spans="5:7" ht="13" x14ac:dyDescent="0.15">
      <c r="E847" s="33"/>
      <c r="F847" s="33"/>
      <c r="G847" s="33"/>
    </row>
    <row r="848" spans="5:7" ht="13" x14ac:dyDescent="0.15">
      <c r="E848" s="33"/>
      <c r="F848" s="33"/>
      <c r="G848" s="33"/>
    </row>
    <row r="849" spans="5:7" ht="13" x14ac:dyDescent="0.15">
      <c r="E849" s="33"/>
      <c r="F849" s="33"/>
      <c r="G849" s="33"/>
    </row>
    <row r="850" spans="5:7" ht="13" x14ac:dyDescent="0.15">
      <c r="E850" s="33"/>
      <c r="F850" s="33"/>
      <c r="G850" s="33"/>
    </row>
    <row r="851" spans="5:7" ht="13" x14ac:dyDescent="0.15">
      <c r="E851" s="33"/>
      <c r="F851" s="33"/>
      <c r="G851" s="33"/>
    </row>
    <row r="852" spans="5:7" ht="13" x14ac:dyDescent="0.15">
      <c r="E852" s="33"/>
      <c r="F852" s="33"/>
      <c r="G852" s="33"/>
    </row>
    <row r="853" spans="5:7" ht="13" x14ac:dyDescent="0.15">
      <c r="E853" s="33"/>
      <c r="F853" s="33"/>
      <c r="G853" s="33"/>
    </row>
    <row r="854" spans="5:7" ht="13" x14ac:dyDescent="0.15">
      <c r="E854" s="33"/>
      <c r="F854" s="33"/>
      <c r="G854" s="33"/>
    </row>
    <row r="855" spans="5:7" ht="13" x14ac:dyDescent="0.15">
      <c r="E855" s="33"/>
      <c r="F855" s="33"/>
      <c r="G855" s="33"/>
    </row>
    <row r="856" spans="5:7" ht="13" x14ac:dyDescent="0.15">
      <c r="E856" s="33"/>
      <c r="F856" s="33"/>
      <c r="G856" s="33"/>
    </row>
    <row r="857" spans="5:7" ht="13" x14ac:dyDescent="0.15">
      <c r="E857" s="33"/>
      <c r="F857" s="33"/>
      <c r="G857" s="33"/>
    </row>
    <row r="858" spans="5:7" ht="13" x14ac:dyDescent="0.15">
      <c r="E858" s="33"/>
      <c r="F858" s="33"/>
      <c r="G858" s="33"/>
    </row>
    <row r="859" spans="5:7" ht="13" x14ac:dyDescent="0.15">
      <c r="E859" s="33"/>
      <c r="F859" s="33"/>
      <c r="G859" s="33"/>
    </row>
    <row r="860" spans="5:7" ht="13" x14ac:dyDescent="0.15">
      <c r="E860" s="33"/>
      <c r="F860" s="33"/>
      <c r="G860" s="33"/>
    </row>
    <row r="861" spans="5:7" ht="13" x14ac:dyDescent="0.15">
      <c r="E861" s="33"/>
      <c r="F861" s="33"/>
      <c r="G861" s="33"/>
    </row>
    <row r="862" spans="5:7" ht="13" x14ac:dyDescent="0.15">
      <c r="E862" s="33"/>
      <c r="F862" s="33"/>
      <c r="G862" s="33"/>
    </row>
    <row r="863" spans="5:7" ht="13" x14ac:dyDescent="0.15">
      <c r="E863" s="33"/>
      <c r="F863" s="33"/>
      <c r="G863" s="33"/>
    </row>
    <row r="864" spans="5:7" ht="13" x14ac:dyDescent="0.15">
      <c r="E864" s="33"/>
      <c r="F864" s="33"/>
      <c r="G864" s="33"/>
    </row>
    <row r="865" spans="5:7" ht="13" x14ac:dyDescent="0.15">
      <c r="E865" s="33"/>
      <c r="F865" s="33"/>
      <c r="G865" s="33"/>
    </row>
    <row r="866" spans="5:7" ht="13" x14ac:dyDescent="0.15">
      <c r="E866" s="33"/>
      <c r="F866" s="33"/>
      <c r="G866" s="33"/>
    </row>
    <row r="867" spans="5:7" ht="13" x14ac:dyDescent="0.15">
      <c r="E867" s="33"/>
      <c r="F867" s="33"/>
      <c r="G867" s="33"/>
    </row>
    <row r="868" spans="5:7" ht="13" x14ac:dyDescent="0.15">
      <c r="E868" s="33"/>
      <c r="F868" s="33"/>
      <c r="G868" s="33"/>
    </row>
    <row r="869" spans="5:7" ht="13" x14ac:dyDescent="0.15">
      <c r="E869" s="33"/>
      <c r="F869" s="33"/>
      <c r="G869" s="33"/>
    </row>
    <row r="870" spans="5:7" ht="13" x14ac:dyDescent="0.15">
      <c r="E870" s="33"/>
      <c r="F870" s="33"/>
      <c r="G870" s="33"/>
    </row>
    <row r="871" spans="5:7" ht="13" x14ac:dyDescent="0.15">
      <c r="E871" s="33"/>
      <c r="F871" s="33"/>
      <c r="G871" s="33"/>
    </row>
    <row r="872" spans="5:7" ht="13" x14ac:dyDescent="0.15">
      <c r="E872" s="33"/>
      <c r="F872" s="33"/>
      <c r="G872" s="33"/>
    </row>
    <row r="873" spans="5:7" ht="13" x14ac:dyDescent="0.15">
      <c r="E873" s="33"/>
      <c r="F873" s="33"/>
      <c r="G873" s="33"/>
    </row>
    <row r="874" spans="5:7" ht="13" x14ac:dyDescent="0.15">
      <c r="E874" s="33"/>
      <c r="F874" s="33"/>
      <c r="G874" s="33"/>
    </row>
    <row r="875" spans="5:7" ht="13" x14ac:dyDescent="0.15">
      <c r="E875" s="33"/>
      <c r="F875" s="33"/>
      <c r="G875" s="33"/>
    </row>
    <row r="876" spans="5:7" ht="13" x14ac:dyDescent="0.15">
      <c r="E876" s="33"/>
      <c r="F876" s="33"/>
      <c r="G876" s="33"/>
    </row>
    <row r="877" spans="5:7" ht="13" x14ac:dyDescent="0.15">
      <c r="E877" s="33"/>
      <c r="F877" s="33"/>
      <c r="G877" s="33"/>
    </row>
    <row r="878" spans="5:7" ht="13" x14ac:dyDescent="0.15">
      <c r="E878" s="33"/>
      <c r="F878" s="33"/>
      <c r="G878" s="33"/>
    </row>
    <row r="879" spans="5:7" ht="13" x14ac:dyDescent="0.15">
      <c r="E879" s="33"/>
      <c r="F879" s="33"/>
      <c r="G879" s="33"/>
    </row>
    <row r="880" spans="5:7" ht="13" x14ac:dyDescent="0.15">
      <c r="E880" s="33"/>
      <c r="F880" s="33"/>
      <c r="G880" s="33"/>
    </row>
    <row r="881" spans="5:7" ht="13" x14ac:dyDescent="0.15">
      <c r="E881" s="33"/>
      <c r="F881" s="33"/>
      <c r="G881" s="33"/>
    </row>
    <row r="882" spans="5:7" ht="13" x14ac:dyDescent="0.15">
      <c r="E882" s="33"/>
      <c r="F882" s="33"/>
      <c r="G882" s="33"/>
    </row>
    <row r="883" spans="5:7" ht="13" x14ac:dyDescent="0.15">
      <c r="E883" s="33"/>
      <c r="F883" s="33"/>
      <c r="G883" s="33"/>
    </row>
    <row r="884" spans="5:7" ht="13" x14ac:dyDescent="0.15">
      <c r="E884" s="33"/>
      <c r="F884" s="33"/>
      <c r="G884" s="33"/>
    </row>
    <row r="885" spans="5:7" ht="13" x14ac:dyDescent="0.15">
      <c r="E885" s="33"/>
      <c r="F885" s="33"/>
      <c r="G885" s="33"/>
    </row>
    <row r="886" spans="5:7" ht="13" x14ac:dyDescent="0.15">
      <c r="E886" s="33"/>
      <c r="F886" s="33"/>
      <c r="G886" s="33"/>
    </row>
    <row r="887" spans="5:7" ht="13" x14ac:dyDescent="0.15">
      <c r="E887" s="33"/>
      <c r="F887" s="33"/>
      <c r="G887" s="33"/>
    </row>
    <row r="888" spans="5:7" ht="13" x14ac:dyDescent="0.15">
      <c r="E888" s="33"/>
      <c r="F888" s="33"/>
      <c r="G888" s="33"/>
    </row>
    <row r="889" spans="5:7" ht="13" x14ac:dyDescent="0.15">
      <c r="E889" s="33"/>
      <c r="F889" s="33"/>
      <c r="G889" s="33"/>
    </row>
    <row r="890" spans="5:7" ht="13" x14ac:dyDescent="0.15">
      <c r="E890" s="33"/>
      <c r="F890" s="33"/>
      <c r="G890" s="33"/>
    </row>
    <row r="891" spans="5:7" ht="13" x14ac:dyDescent="0.15">
      <c r="E891" s="33"/>
      <c r="F891" s="33"/>
      <c r="G891" s="33"/>
    </row>
    <row r="892" spans="5:7" ht="13" x14ac:dyDescent="0.15">
      <c r="E892" s="33"/>
      <c r="F892" s="33"/>
      <c r="G892" s="33"/>
    </row>
    <row r="893" spans="5:7" ht="13" x14ac:dyDescent="0.15">
      <c r="E893" s="33"/>
      <c r="F893" s="33"/>
      <c r="G893" s="33"/>
    </row>
    <row r="894" spans="5:7" ht="13" x14ac:dyDescent="0.15">
      <c r="E894" s="33"/>
      <c r="F894" s="33"/>
      <c r="G894" s="33"/>
    </row>
    <row r="895" spans="5:7" ht="13" x14ac:dyDescent="0.15">
      <c r="E895" s="33"/>
      <c r="F895" s="33"/>
      <c r="G895" s="33"/>
    </row>
    <row r="896" spans="5:7" ht="13" x14ac:dyDescent="0.15">
      <c r="E896" s="33"/>
      <c r="F896" s="33"/>
      <c r="G896" s="33"/>
    </row>
    <row r="897" spans="5:7" ht="13" x14ac:dyDescent="0.15">
      <c r="E897" s="33"/>
      <c r="F897" s="33"/>
      <c r="G897" s="33"/>
    </row>
    <row r="898" spans="5:7" ht="13" x14ac:dyDescent="0.15">
      <c r="E898" s="33"/>
      <c r="F898" s="33"/>
      <c r="G898" s="33"/>
    </row>
    <row r="899" spans="5:7" ht="13" x14ac:dyDescent="0.15">
      <c r="E899" s="33"/>
      <c r="F899" s="33"/>
      <c r="G899" s="33"/>
    </row>
    <row r="900" spans="5:7" ht="13" x14ac:dyDescent="0.15">
      <c r="E900" s="33"/>
      <c r="F900" s="33"/>
      <c r="G900" s="33"/>
    </row>
    <row r="901" spans="5:7" ht="13" x14ac:dyDescent="0.15">
      <c r="E901" s="33"/>
      <c r="F901" s="33"/>
      <c r="G901" s="33"/>
    </row>
    <row r="902" spans="5:7" ht="13" x14ac:dyDescent="0.15">
      <c r="E902" s="33"/>
      <c r="F902" s="33"/>
      <c r="G902" s="33"/>
    </row>
    <row r="903" spans="5:7" ht="13" x14ac:dyDescent="0.15">
      <c r="E903" s="33"/>
      <c r="F903" s="33"/>
      <c r="G903" s="33"/>
    </row>
    <row r="904" spans="5:7" ht="13" x14ac:dyDescent="0.15">
      <c r="E904" s="33"/>
      <c r="F904" s="33"/>
      <c r="G904" s="33"/>
    </row>
    <row r="905" spans="5:7" ht="13" x14ac:dyDescent="0.15">
      <c r="E905" s="33"/>
      <c r="F905" s="33"/>
      <c r="G905" s="33"/>
    </row>
    <row r="906" spans="5:7" ht="13" x14ac:dyDescent="0.15">
      <c r="E906" s="33"/>
      <c r="F906" s="33"/>
      <c r="G906" s="33"/>
    </row>
    <row r="907" spans="5:7" ht="13" x14ac:dyDescent="0.15">
      <c r="E907" s="33"/>
      <c r="F907" s="33"/>
      <c r="G907" s="33"/>
    </row>
    <row r="908" spans="5:7" ht="13" x14ac:dyDescent="0.15">
      <c r="E908" s="33"/>
      <c r="F908" s="33"/>
      <c r="G908" s="33"/>
    </row>
    <row r="909" spans="5:7" ht="13" x14ac:dyDescent="0.15">
      <c r="E909" s="33"/>
      <c r="F909" s="33"/>
      <c r="G909" s="33"/>
    </row>
    <row r="910" spans="5:7" ht="13" x14ac:dyDescent="0.15">
      <c r="E910" s="33"/>
      <c r="F910" s="33"/>
      <c r="G910" s="33"/>
    </row>
    <row r="911" spans="5:7" ht="13" x14ac:dyDescent="0.15">
      <c r="E911" s="33"/>
      <c r="F911" s="33"/>
      <c r="G911" s="33"/>
    </row>
    <row r="912" spans="5:7" ht="13" x14ac:dyDescent="0.15">
      <c r="E912" s="33"/>
      <c r="F912" s="33"/>
      <c r="G912" s="33"/>
    </row>
    <row r="913" spans="5:7" ht="13" x14ac:dyDescent="0.15">
      <c r="E913" s="33"/>
      <c r="F913" s="33"/>
      <c r="G913" s="33"/>
    </row>
    <row r="914" spans="5:7" ht="13" x14ac:dyDescent="0.15">
      <c r="E914" s="33"/>
      <c r="F914" s="33"/>
      <c r="G914" s="33"/>
    </row>
    <row r="915" spans="5:7" ht="13" x14ac:dyDescent="0.15">
      <c r="E915" s="33"/>
      <c r="F915" s="33"/>
      <c r="G915" s="33"/>
    </row>
    <row r="916" spans="5:7" ht="13" x14ac:dyDescent="0.15">
      <c r="E916" s="33"/>
      <c r="F916" s="33"/>
      <c r="G916" s="33"/>
    </row>
    <row r="917" spans="5:7" ht="13" x14ac:dyDescent="0.15">
      <c r="E917" s="33"/>
      <c r="F917" s="33"/>
      <c r="G917" s="33"/>
    </row>
    <row r="918" spans="5:7" ht="13" x14ac:dyDescent="0.15">
      <c r="E918" s="33"/>
      <c r="F918" s="33"/>
      <c r="G918" s="33"/>
    </row>
    <row r="919" spans="5:7" ht="13" x14ac:dyDescent="0.15">
      <c r="E919" s="33"/>
      <c r="F919" s="33"/>
      <c r="G919" s="33"/>
    </row>
    <row r="920" spans="5:7" ht="13" x14ac:dyDescent="0.15">
      <c r="E920" s="33"/>
      <c r="F920" s="33"/>
      <c r="G920" s="33"/>
    </row>
    <row r="921" spans="5:7" ht="13" x14ac:dyDescent="0.15">
      <c r="E921" s="33"/>
      <c r="F921" s="33"/>
      <c r="G921" s="33"/>
    </row>
    <row r="922" spans="5:7" ht="13" x14ac:dyDescent="0.15">
      <c r="E922" s="33"/>
      <c r="F922" s="33"/>
      <c r="G922" s="33"/>
    </row>
    <row r="923" spans="5:7" ht="13" x14ac:dyDescent="0.15">
      <c r="E923" s="33"/>
      <c r="F923" s="33"/>
      <c r="G923" s="33"/>
    </row>
    <row r="924" spans="5:7" ht="13" x14ac:dyDescent="0.15">
      <c r="E924" s="33"/>
      <c r="F924" s="33"/>
      <c r="G924" s="33"/>
    </row>
    <row r="925" spans="5:7" ht="13" x14ac:dyDescent="0.15">
      <c r="E925" s="33"/>
      <c r="F925" s="33"/>
      <c r="G925" s="33"/>
    </row>
    <row r="926" spans="5:7" ht="13" x14ac:dyDescent="0.15">
      <c r="E926" s="33"/>
      <c r="F926" s="33"/>
      <c r="G926" s="33"/>
    </row>
    <row r="927" spans="5:7" ht="13" x14ac:dyDescent="0.15">
      <c r="E927" s="33"/>
      <c r="F927" s="33"/>
      <c r="G927" s="33"/>
    </row>
    <row r="928" spans="5:7" ht="13" x14ac:dyDescent="0.15">
      <c r="E928" s="33"/>
      <c r="F928" s="33"/>
      <c r="G928" s="33"/>
    </row>
    <row r="929" spans="5:7" ht="13" x14ac:dyDescent="0.15">
      <c r="E929" s="33"/>
      <c r="F929" s="33"/>
      <c r="G929" s="33"/>
    </row>
    <row r="930" spans="5:7" ht="13" x14ac:dyDescent="0.15">
      <c r="E930" s="33"/>
      <c r="F930" s="33"/>
      <c r="G930" s="33"/>
    </row>
    <row r="931" spans="5:7" ht="13" x14ac:dyDescent="0.15">
      <c r="E931" s="33"/>
      <c r="F931" s="33"/>
      <c r="G931" s="33"/>
    </row>
    <row r="932" spans="5:7" ht="13" x14ac:dyDescent="0.15">
      <c r="E932" s="33"/>
      <c r="F932" s="33"/>
      <c r="G932" s="33"/>
    </row>
    <row r="933" spans="5:7" ht="13" x14ac:dyDescent="0.15">
      <c r="E933" s="33"/>
      <c r="F933" s="33"/>
      <c r="G933" s="33"/>
    </row>
    <row r="934" spans="5:7" ht="13" x14ac:dyDescent="0.15">
      <c r="E934" s="33"/>
      <c r="F934" s="33"/>
      <c r="G934" s="33"/>
    </row>
    <row r="935" spans="5:7" ht="13" x14ac:dyDescent="0.15">
      <c r="E935" s="33"/>
      <c r="F935" s="33"/>
      <c r="G935" s="33"/>
    </row>
    <row r="936" spans="5:7" ht="13" x14ac:dyDescent="0.15">
      <c r="E936" s="33"/>
      <c r="F936" s="33"/>
      <c r="G936" s="33"/>
    </row>
    <row r="937" spans="5:7" ht="13" x14ac:dyDescent="0.15">
      <c r="E937" s="33"/>
      <c r="F937" s="33"/>
      <c r="G937" s="33"/>
    </row>
    <row r="938" spans="5:7" ht="13" x14ac:dyDescent="0.15">
      <c r="E938" s="33"/>
      <c r="F938" s="33"/>
      <c r="G938" s="33"/>
    </row>
    <row r="939" spans="5:7" ht="13" x14ac:dyDescent="0.15">
      <c r="E939" s="33"/>
      <c r="F939" s="33"/>
      <c r="G939" s="33"/>
    </row>
    <row r="940" spans="5:7" ht="13" x14ac:dyDescent="0.15">
      <c r="E940" s="33"/>
      <c r="F940" s="33"/>
      <c r="G940" s="33"/>
    </row>
    <row r="941" spans="5:7" ht="13" x14ac:dyDescent="0.15">
      <c r="E941" s="33"/>
      <c r="F941" s="33"/>
      <c r="G941" s="33"/>
    </row>
    <row r="942" spans="5:7" ht="13" x14ac:dyDescent="0.15">
      <c r="E942" s="33"/>
      <c r="F942" s="33"/>
      <c r="G942" s="33"/>
    </row>
    <row r="943" spans="5:7" ht="13" x14ac:dyDescent="0.15">
      <c r="E943" s="33"/>
      <c r="F943" s="33"/>
      <c r="G943" s="33"/>
    </row>
    <row r="944" spans="5:7" ht="13" x14ac:dyDescent="0.15">
      <c r="E944" s="33"/>
      <c r="F944" s="33"/>
      <c r="G944" s="33"/>
    </row>
    <row r="945" spans="5:7" ht="13" x14ac:dyDescent="0.15">
      <c r="E945" s="33"/>
      <c r="F945" s="33"/>
      <c r="G945" s="33"/>
    </row>
    <row r="946" spans="5:7" ht="13" x14ac:dyDescent="0.15">
      <c r="E946" s="33"/>
      <c r="F946" s="33"/>
      <c r="G946" s="33"/>
    </row>
    <row r="947" spans="5:7" ht="13" x14ac:dyDescent="0.15">
      <c r="E947" s="33"/>
      <c r="F947" s="33"/>
      <c r="G947" s="33"/>
    </row>
    <row r="948" spans="5:7" ht="13" x14ac:dyDescent="0.15">
      <c r="E948" s="33"/>
      <c r="F948" s="33"/>
      <c r="G948" s="33"/>
    </row>
    <row r="949" spans="5:7" ht="13" x14ac:dyDescent="0.15">
      <c r="E949" s="33"/>
      <c r="F949" s="33"/>
      <c r="G949" s="33"/>
    </row>
    <row r="950" spans="5:7" ht="13" x14ac:dyDescent="0.15">
      <c r="E950" s="33"/>
      <c r="F950" s="33"/>
      <c r="G950" s="33"/>
    </row>
    <row r="951" spans="5:7" ht="13" x14ac:dyDescent="0.15">
      <c r="E951" s="33"/>
      <c r="F951" s="33"/>
      <c r="G951" s="33"/>
    </row>
    <row r="952" spans="5:7" ht="13" x14ac:dyDescent="0.15">
      <c r="E952" s="33"/>
      <c r="F952" s="33"/>
      <c r="G952" s="33"/>
    </row>
    <row r="953" spans="5:7" ht="13" x14ac:dyDescent="0.15">
      <c r="E953" s="33"/>
      <c r="F953" s="33"/>
      <c r="G953" s="33"/>
    </row>
    <row r="954" spans="5:7" ht="13" x14ac:dyDescent="0.15">
      <c r="E954" s="33"/>
      <c r="F954" s="33"/>
      <c r="G954" s="33"/>
    </row>
    <row r="955" spans="5:7" ht="13" x14ac:dyDescent="0.15">
      <c r="E955" s="33"/>
      <c r="F955" s="33"/>
      <c r="G955" s="33"/>
    </row>
    <row r="956" spans="5:7" ht="13" x14ac:dyDescent="0.15">
      <c r="E956" s="33"/>
      <c r="F956" s="33"/>
      <c r="G956" s="33"/>
    </row>
    <row r="957" spans="5:7" ht="13" x14ac:dyDescent="0.15">
      <c r="E957" s="33"/>
      <c r="F957" s="33"/>
      <c r="G957" s="33"/>
    </row>
    <row r="958" spans="5:7" ht="13" x14ac:dyDescent="0.15">
      <c r="E958" s="33"/>
      <c r="F958" s="33"/>
      <c r="G958" s="33"/>
    </row>
    <row r="959" spans="5:7" ht="13" x14ac:dyDescent="0.15">
      <c r="E959" s="33"/>
      <c r="F959" s="33"/>
      <c r="G959" s="33"/>
    </row>
    <row r="960" spans="5:7" ht="13" x14ac:dyDescent="0.15">
      <c r="E960" s="33"/>
      <c r="F960" s="33"/>
      <c r="G960" s="33"/>
    </row>
    <row r="961" spans="5:7" ht="13" x14ac:dyDescent="0.15">
      <c r="E961" s="33"/>
      <c r="F961" s="33"/>
      <c r="G961" s="33"/>
    </row>
    <row r="962" spans="5:7" ht="13" x14ac:dyDescent="0.15">
      <c r="E962" s="33"/>
      <c r="F962" s="33"/>
      <c r="G962" s="33"/>
    </row>
    <row r="963" spans="5:7" ht="13" x14ac:dyDescent="0.15">
      <c r="E963" s="33"/>
      <c r="F963" s="33"/>
      <c r="G963" s="33"/>
    </row>
    <row r="964" spans="5:7" ht="13" x14ac:dyDescent="0.15">
      <c r="E964" s="33"/>
      <c r="F964" s="33"/>
      <c r="G964" s="33"/>
    </row>
    <row r="965" spans="5:7" ht="13" x14ac:dyDescent="0.15">
      <c r="E965" s="33"/>
      <c r="F965" s="33"/>
      <c r="G965" s="33"/>
    </row>
    <row r="966" spans="5:7" ht="13" x14ac:dyDescent="0.15">
      <c r="E966" s="33"/>
      <c r="F966" s="33"/>
      <c r="G966" s="33"/>
    </row>
    <row r="967" spans="5:7" ht="13" x14ac:dyDescent="0.15">
      <c r="E967" s="33"/>
      <c r="F967" s="33"/>
      <c r="G967" s="33"/>
    </row>
    <row r="968" spans="5:7" ht="13" x14ac:dyDescent="0.15">
      <c r="E968" s="33"/>
      <c r="F968" s="33"/>
      <c r="G968" s="33"/>
    </row>
    <row r="969" spans="5:7" ht="13" x14ac:dyDescent="0.15">
      <c r="E969" s="33"/>
      <c r="F969" s="33"/>
      <c r="G969" s="33"/>
    </row>
    <row r="970" spans="5:7" ht="13" x14ac:dyDescent="0.15">
      <c r="E970" s="33"/>
      <c r="F970" s="33"/>
      <c r="G970" s="33"/>
    </row>
    <row r="971" spans="5:7" ht="13" x14ac:dyDescent="0.15">
      <c r="E971" s="33"/>
      <c r="F971" s="33"/>
      <c r="G971" s="33"/>
    </row>
    <row r="972" spans="5:7" ht="13" x14ac:dyDescent="0.15">
      <c r="E972" s="33"/>
      <c r="F972" s="33"/>
      <c r="G972" s="33"/>
    </row>
    <row r="973" spans="5:7" ht="13" x14ac:dyDescent="0.15">
      <c r="E973" s="33"/>
      <c r="F973" s="33"/>
      <c r="G973" s="33"/>
    </row>
    <row r="974" spans="5:7" ht="13" x14ac:dyDescent="0.15">
      <c r="E974" s="33"/>
      <c r="F974" s="33"/>
      <c r="G974" s="33"/>
    </row>
    <row r="975" spans="5:7" ht="13" x14ac:dyDescent="0.15">
      <c r="E975" s="33"/>
      <c r="F975" s="33"/>
      <c r="G975" s="33"/>
    </row>
    <row r="976" spans="5:7" ht="13" x14ac:dyDescent="0.15">
      <c r="E976" s="33"/>
      <c r="F976" s="33"/>
      <c r="G976" s="33"/>
    </row>
    <row r="977" spans="5:7" ht="13" x14ac:dyDescent="0.15">
      <c r="E977" s="33"/>
      <c r="F977" s="33"/>
      <c r="G977" s="33"/>
    </row>
    <row r="978" spans="5:7" ht="13" x14ac:dyDescent="0.15">
      <c r="E978" s="33"/>
      <c r="F978" s="33"/>
      <c r="G978" s="33"/>
    </row>
    <row r="979" spans="5:7" ht="13" x14ac:dyDescent="0.15">
      <c r="E979" s="33"/>
      <c r="F979" s="33"/>
      <c r="G979" s="33"/>
    </row>
    <row r="980" spans="5:7" ht="13" x14ac:dyDescent="0.15">
      <c r="E980" s="33"/>
      <c r="F980" s="33"/>
      <c r="G980" s="33"/>
    </row>
    <row r="981" spans="5:7" ht="13" x14ac:dyDescent="0.15">
      <c r="E981" s="33"/>
      <c r="F981" s="33"/>
      <c r="G981" s="33"/>
    </row>
    <row r="982" spans="5:7" ht="13" x14ac:dyDescent="0.15">
      <c r="E982" s="33"/>
      <c r="F982" s="33"/>
      <c r="G982" s="33"/>
    </row>
    <row r="983" spans="5:7" ht="13" x14ac:dyDescent="0.15">
      <c r="E983" s="33"/>
      <c r="F983" s="33"/>
      <c r="G983" s="33"/>
    </row>
    <row r="984" spans="5:7" ht="13" x14ac:dyDescent="0.15">
      <c r="E984" s="33"/>
      <c r="F984" s="33"/>
      <c r="G984" s="33"/>
    </row>
    <row r="985" spans="5:7" ht="13" x14ac:dyDescent="0.15">
      <c r="E985" s="33"/>
      <c r="F985" s="33"/>
      <c r="G985" s="33"/>
    </row>
    <row r="986" spans="5:7" ht="13" x14ac:dyDescent="0.15">
      <c r="E986" s="33"/>
      <c r="F986" s="33"/>
      <c r="G986" s="33"/>
    </row>
    <row r="987" spans="5:7" ht="13" x14ac:dyDescent="0.15">
      <c r="E987" s="33"/>
      <c r="F987" s="33"/>
      <c r="G987" s="33"/>
    </row>
    <row r="988" spans="5:7" ht="13" x14ac:dyDescent="0.15">
      <c r="E988" s="33"/>
      <c r="F988" s="33"/>
      <c r="G988" s="33"/>
    </row>
    <row r="989" spans="5:7" ht="13" x14ac:dyDescent="0.15">
      <c r="E989" s="33"/>
      <c r="F989" s="33"/>
      <c r="G989" s="33"/>
    </row>
    <row r="990" spans="5:7" ht="13" x14ac:dyDescent="0.15">
      <c r="E990" s="33"/>
      <c r="F990" s="33"/>
      <c r="G990" s="33"/>
    </row>
    <row r="991" spans="5:7" ht="13" x14ac:dyDescent="0.15">
      <c r="E991" s="33"/>
      <c r="F991" s="33"/>
      <c r="G991" s="33"/>
    </row>
    <row r="992" spans="5:7" ht="13" x14ac:dyDescent="0.15">
      <c r="E992" s="33"/>
      <c r="F992" s="33"/>
      <c r="G992" s="33"/>
    </row>
    <row r="993" spans="5:7" ht="13" x14ac:dyDescent="0.15">
      <c r="E993" s="33"/>
      <c r="F993" s="33"/>
      <c r="G993" s="33"/>
    </row>
    <row r="994" spans="5:7" ht="13" x14ac:dyDescent="0.15">
      <c r="E994" s="33"/>
      <c r="F994" s="33"/>
      <c r="G994" s="33"/>
    </row>
    <row r="995" spans="5:7" ht="13" x14ac:dyDescent="0.15">
      <c r="E995" s="33"/>
      <c r="F995" s="33"/>
      <c r="G995" s="33"/>
    </row>
    <row r="996" spans="5:7" ht="13" x14ac:dyDescent="0.15">
      <c r="E996" s="33"/>
      <c r="F996" s="33"/>
      <c r="G996" s="33"/>
    </row>
    <row r="997" spans="5:7" ht="13" x14ac:dyDescent="0.15">
      <c r="E997" s="33"/>
      <c r="F997" s="33"/>
      <c r="G997" s="33"/>
    </row>
    <row r="998" spans="5:7" ht="13" x14ac:dyDescent="0.15">
      <c r="E998" s="33"/>
      <c r="F998" s="33"/>
      <c r="G998" s="33"/>
    </row>
    <row r="999" spans="5:7" ht="13" x14ac:dyDescent="0.15">
      <c r="E999" s="33"/>
      <c r="F999" s="33"/>
      <c r="G999" s="33"/>
    </row>
    <row r="1000" spans="5:7" ht="13" x14ac:dyDescent="0.15">
      <c r="E1000" s="33"/>
      <c r="F1000" s="33"/>
      <c r="G1000" s="33"/>
    </row>
  </sheetData>
  <conditionalFormatting sqref="E2:G1000">
    <cfRule type="cellIs" dxfId="94" priority="1" operator="greaterThan">
      <formula>0</formula>
    </cfRule>
    <cfRule type="cellIs" dxfId="93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4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15.6640625" customWidth="1"/>
    <col min="4" max="4" width="10.1640625" customWidth="1"/>
    <col min="5" max="5" width="11.83203125" customWidth="1"/>
    <col min="6" max="6" width="11.6640625" customWidth="1"/>
    <col min="8" max="8" width="26.16406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11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103</v>
      </c>
      <c r="D4" s="1">
        <v>4045</v>
      </c>
      <c r="E4" s="10">
        <v>0</v>
      </c>
      <c r="F4" s="10">
        <v>-3000</v>
      </c>
      <c r="G4" s="10"/>
      <c r="H4" s="1"/>
      <c r="I4" s="1"/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 t="s">
        <v>104</v>
      </c>
      <c r="D5" s="1">
        <v>7630</v>
      </c>
      <c r="E5" s="10">
        <v>0</v>
      </c>
      <c r="F5" s="10">
        <v>-1000</v>
      </c>
      <c r="G5" s="10"/>
      <c r="H5" s="34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1" t="s">
        <v>105</v>
      </c>
      <c r="D6" s="1">
        <v>4030</v>
      </c>
      <c r="E6" s="10">
        <v>0</v>
      </c>
      <c r="F6" s="10">
        <v>-1500</v>
      </c>
      <c r="G6" s="10"/>
      <c r="H6" s="34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/>
      <c r="D7" s="1"/>
      <c r="E7" s="10"/>
      <c r="F7" s="10"/>
      <c r="G7" s="10"/>
      <c r="H7" s="34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25" t="s">
        <v>80</v>
      </c>
      <c r="D8" s="1"/>
      <c r="E8" s="10">
        <f t="shared" ref="E8:F8" si="0">SUM(E4:E6)</f>
        <v>0</v>
      </c>
      <c r="F8" s="10">
        <f t="shared" si="0"/>
        <v>-5500</v>
      </c>
      <c r="G8" s="10">
        <f>E8+F8</f>
        <v>-5500</v>
      </c>
      <c r="H8" s="34"/>
      <c r="I8" s="1"/>
      <c r="J8" s="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1"/>
      <c r="D9" s="1"/>
      <c r="E9" s="10"/>
      <c r="F9" s="10"/>
      <c r="G9" s="10"/>
      <c r="H9" s="34"/>
      <c r="I9" s="1"/>
      <c r="J9" s="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25" t="s">
        <v>81</v>
      </c>
      <c r="C10" s="1"/>
      <c r="D10" s="1"/>
      <c r="E10" s="10"/>
      <c r="F10" s="10"/>
      <c r="G10" s="10"/>
      <c r="H10" s="34"/>
      <c r="I10" s="1"/>
      <c r="J10" s="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1"/>
      <c r="C11" s="1" t="s">
        <v>82</v>
      </c>
      <c r="D11" s="1">
        <v>7631</v>
      </c>
      <c r="E11" s="10">
        <v>0</v>
      </c>
      <c r="F11" s="10">
        <v>-1750</v>
      </c>
      <c r="G11" s="10"/>
      <c r="H11" s="34"/>
      <c r="I11" s="1"/>
      <c r="J11" s="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 t="s">
        <v>83</v>
      </c>
      <c r="D12" s="1">
        <v>7691</v>
      </c>
      <c r="E12" s="10">
        <v>0</v>
      </c>
      <c r="F12" s="10">
        <v>-1050</v>
      </c>
      <c r="G12" s="10"/>
      <c r="H12" s="34"/>
      <c r="I12" s="1"/>
      <c r="J12" s="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/>
      <c r="D13" s="1"/>
      <c r="E13" s="10"/>
      <c r="F13" s="10"/>
      <c r="G13" s="10"/>
      <c r="H13" s="34"/>
      <c r="I13" s="1"/>
      <c r="J13" s="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1"/>
      <c r="C14" s="25" t="s">
        <v>80</v>
      </c>
      <c r="D14" s="1"/>
      <c r="E14" s="10">
        <f t="shared" ref="E14:F14" si="1">SUM(E11:E12)</f>
        <v>0</v>
      </c>
      <c r="F14" s="10">
        <f t="shared" si="1"/>
        <v>-2800</v>
      </c>
      <c r="G14" s="10">
        <f>E14+F14</f>
        <v>-2800</v>
      </c>
      <c r="H14" s="34"/>
      <c r="I14" s="1"/>
      <c r="J14" s="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/>
      <c r="D15" s="1"/>
      <c r="E15" s="10"/>
      <c r="F15" s="10"/>
      <c r="G15" s="10"/>
      <c r="H15" s="34"/>
      <c r="I15" s="1"/>
      <c r="J15" s="1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25" t="s">
        <v>106</v>
      </c>
      <c r="C16" s="1"/>
      <c r="D16" s="1"/>
      <c r="E16" s="10"/>
      <c r="F16" s="10"/>
      <c r="G16" s="10"/>
      <c r="H16" s="34"/>
      <c r="I16" s="1"/>
      <c r="J16" s="1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1" t="s">
        <v>107</v>
      </c>
      <c r="D17" s="1">
        <v>5611</v>
      </c>
      <c r="E17" s="10">
        <v>0</v>
      </c>
      <c r="F17" s="10">
        <v>-35000</v>
      </c>
      <c r="G17" s="10"/>
      <c r="H17" s="34"/>
      <c r="I17" s="1"/>
      <c r="J17" s="1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 t="s">
        <v>108</v>
      </c>
      <c r="D18" s="1">
        <v>5612</v>
      </c>
      <c r="E18" s="10">
        <v>0</v>
      </c>
      <c r="F18" s="10">
        <v>-18000</v>
      </c>
      <c r="G18" s="10"/>
      <c r="H18" s="34" t="s">
        <v>109</v>
      </c>
      <c r="I18" s="1" t="s">
        <v>110</v>
      </c>
      <c r="J18" s="1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1" t="s">
        <v>111</v>
      </c>
      <c r="D19" s="1">
        <v>5616</v>
      </c>
      <c r="E19" s="10">
        <v>0</v>
      </c>
      <c r="F19" s="10">
        <v>-4000</v>
      </c>
      <c r="G19" s="10"/>
      <c r="H19" s="34" t="s">
        <v>112</v>
      </c>
      <c r="I19" s="1" t="s">
        <v>113</v>
      </c>
      <c r="J19" s="1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1" t="s">
        <v>114</v>
      </c>
      <c r="D20" s="1">
        <v>5617</v>
      </c>
      <c r="E20" s="10">
        <v>0</v>
      </c>
      <c r="F20" s="10">
        <v>-25000</v>
      </c>
      <c r="G20" s="10"/>
      <c r="H20" s="34" t="s">
        <v>115</v>
      </c>
      <c r="I20" s="1"/>
      <c r="J20" s="1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1"/>
      <c r="C21" s="1" t="s">
        <v>116</v>
      </c>
      <c r="D21" s="1">
        <v>5613</v>
      </c>
      <c r="E21" s="10">
        <v>0</v>
      </c>
      <c r="F21" s="10">
        <v>-30000</v>
      </c>
      <c r="G21" s="10"/>
      <c r="H21" s="34"/>
      <c r="I21" s="1"/>
      <c r="J21" s="1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1"/>
      <c r="C22" s="1"/>
      <c r="D22" s="1"/>
      <c r="E22" s="10"/>
      <c r="F22" s="10"/>
      <c r="G22" s="10"/>
      <c r="H22" s="34"/>
      <c r="I22" s="1"/>
      <c r="J22" s="1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1"/>
      <c r="C23" s="25" t="s">
        <v>80</v>
      </c>
      <c r="D23" s="1"/>
      <c r="E23" s="10">
        <f t="shared" ref="E23:F23" si="2">SUM(E17:E21)</f>
        <v>0</v>
      </c>
      <c r="F23" s="10">
        <f t="shared" si="2"/>
        <v>-112000</v>
      </c>
      <c r="G23" s="10">
        <f>E23+F23</f>
        <v>-112000</v>
      </c>
      <c r="H23" s="34"/>
      <c r="I23" s="1"/>
      <c r="J23" s="1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x14ac:dyDescent="0.2">
      <c r="A24" s="1"/>
      <c r="B24" s="25"/>
      <c r="C24" s="1"/>
      <c r="D24" s="1"/>
      <c r="E24" s="10"/>
      <c r="F24" s="10"/>
      <c r="G24" s="10"/>
      <c r="H24" s="34"/>
      <c r="I24" s="1"/>
      <c r="J24" s="1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1"/>
      <c r="B25" s="1"/>
      <c r="C25" s="25" t="s">
        <v>102</v>
      </c>
      <c r="D25" s="1"/>
      <c r="E25" s="35">
        <f t="shared" ref="E25:F25" si="3">SUMIFS(E2:E23,$C2:$C23,"Subsubtotal")</f>
        <v>0</v>
      </c>
      <c r="F25" s="35">
        <f t="shared" si="3"/>
        <v>-120300</v>
      </c>
      <c r="G25" s="10">
        <f>E25+F25</f>
        <v>-120300</v>
      </c>
      <c r="H25" s="34"/>
      <c r="I25" s="1"/>
      <c r="J25" s="1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1"/>
      <c r="B26" s="1"/>
      <c r="C26" s="1"/>
      <c r="D26" s="1"/>
      <c r="E26" s="10"/>
      <c r="F26" s="10"/>
      <c r="G26" s="10"/>
      <c r="H26" s="34"/>
      <c r="I26" s="1"/>
      <c r="J26" s="1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1"/>
      <c r="B27" s="1"/>
      <c r="C27" s="1"/>
      <c r="D27" s="1"/>
      <c r="E27" s="10"/>
      <c r="F27" s="10"/>
      <c r="G27" s="10"/>
      <c r="H27" s="34"/>
      <c r="I27" s="1"/>
      <c r="J27" s="1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" x14ac:dyDescent="0.2">
      <c r="A28" s="1"/>
      <c r="B28" s="1"/>
      <c r="C28" s="1"/>
      <c r="D28" s="1"/>
      <c r="E28" s="10"/>
      <c r="F28" s="10"/>
      <c r="G28" s="10"/>
      <c r="H28" s="1"/>
      <c r="I28" s="1"/>
      <c r="J28" s="1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" x14ac:dyDescent="0.2">
      <c r="A29" s="1"/>
      <c r="B29" s="1"/>
      <c r="C29" s="1"/>
      <c r="D29" s="1"/>
      <c r="E29" s="10"/>
      <c r="F29" s="10"/>
      <c r="G29" s="10"/>
      <c r="H29" s="1"/>
      <c r="I29" s="1"/>
      <c r="J29" s="1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 x14ac:dyDescent="0.15">
      <c r="A30" s="28"/>
      <c r="B30" s="28"/>
      <c r="C30" s="28"/>
      <c r="D30" s="28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 x14ac:dyDescent="0.15">
      <c r="A31" s="28"/>
      <c r="B31" s="28"/>
      <c r="C31" s="28"/>
      <c r="D31" s="28"/>
      <c r="E31" s="29"/>
      <c r="F31" s="29"/>
      <c r="G31" s="29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 x14ac:dyDescent="0.15">
      <c r="A32" s="28"/>
      <c r="B32" s="28"/>
      <c r="C32" s="28"/>
      <c r="D32" s="28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 x14ac:dyDescent="0.15">
      <c r="A33" s="28"/>
      <c r="B33" s="28"/>
      <c r="C33" s="28"/>
      <c r="D33" s="28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 x14ac:dyDescent="0.15">
      <c r="A34" s="28"/>
      <c r="B34" s="28"/>
      <c r="C34" s="28"/>
      <c r="D34" s="28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 x14ac:dyDescent="0.15">
      <c r="A35" s="28"/>
      <c r="B35" s="28"/>
      <c r="C35" s="28"/>
      <c r="D35" s="28"/>
      <c r="E35" s="29"/>
      <c r="F35" s="29"/>
      <c r="G35" s="29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 x14ac:dyDescent="0.15">
      <c r="A36" s="28"/>
      <c r="B36" s="28"/>
      <c r="C36" s="28"/>
      <c r="D36" s="28"/>
      <c r="E36" s="29"/>
      <c r="F36" s="29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 x14ac:dyDescent="0.15">
      <c r="A37" s="28"/>
      <c r="B37" s="28"/>
      <c r="C37" s="28"/>
      <c r="D37" s="28"/>
      <c r="E37" s="29"/>
      <c r="F37" s="29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 x14ac:dyDescent="0.15">
      <c r="A38" s="28"/>
      <c r="B38" s="28"/>
      <c r="C38" s="28"/>
      <c r="D38" s="28"/>
      <c r="E38" s="29"/>
      <c r="F38" s="29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 x14ac:dyDescent="0.15">
      <c r="A39" s="28"/>
      <c r="B39" s="28"/>
      <c r="C39" s="28"/>
      <c r="D39" s="28"/>
      <c r="E39" s="29"/>
      <c r="F39" s="29"/>
      <c r="G39" s="29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 x14ac:dyDescent="0.15">
      <c r="A40" s="28"/>
      <c r="B40" s="28"/>
      <c r="C40" s="28"/>
      <c r="D40" s="28"/>
      <c r="E40" s="29"/>
      <c r="F40" s="29"/>
      <c r="G40" s="29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 x14ac:dyDescent="0.15">
      <c r="A41" s="28"/>
      <c r="B41" s="28"/>
      <c r="C41" s="28"/>
      <c r="D41" s="28"/>
      <c r="E41" s="29"/>
      <c r="F41" s="29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 x14ac:dyDescent="0.15">
      <c r="A42" s="28"/>
      <c r="B42" s="28"/>
      <c r="C42" s="28"/>
      <c r="D42" s="28"/>
      <c r="E42" s="29"/>
      <c r="F42" s="29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 x14ac:dyDescent="0.15">
      <c r="A43" s="28"/>
      <c r="B43" s="28"/>
      <c r="C43" s="28"/>
      <c r="D43" s="28"/>
      <c r="E43" s="29"/>
      <c r="F43" s="29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 x14ac:dyDescent="0.15">
      <c r="A44" s="28"/>
      <c r="B44" s="28"/>
      <c r="C44" s="28"/>
      <c r="D44" s="28"/>
      <c r="E44" s="29"/>
      <c r="F44" s="29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15">
      <c r="A45" s="28"/>
      <c r="B45" s="28"/>
      <c r="C45" s="28"/>
      <c r="D45" s="28"/>
      <c r="E45" s="29"/>
      <c r="F45" s="29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 x14ac:dyDescent="0.15">
      <c r="A46" s="28"/>
      <c r="B46" s="28"/>
      <c r="C46" s="28"/>
      <c r="D46" s="28"/>
      <c r="E46" s="29"/>
      <c r="F46" s="29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 x14ac:dyDescent="0.15">
      <c r="A47" s="28"/>
      <c r="B47" s="28"/>
      <c r="C47" s="28"/>
      <c r="D47" s="28"/>
      <c r="E47" s="29"/>
      <c r="F47" s="29"/>
      <c r="G47" s="29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 x14ac:dyDescent="0.15">
      <c r="A48" s="28"/>
      <c r="B48" s="28"/>
      <c r="C48" s="28"/>
      <c r="D48" s="28"/>
      <c r="E48" s="29"/>
      <c r="F48" s="29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 x14ac:dyDescent="0.15">
      <c r="A49" s="28"/>
      <c r="B49" s="28"/>
      <c r="C49" s="28"/>
      <c r="D49" s="28"/>
      <c r="E49" s="29"/>
      <c r="F49" s="29"/>
      <c r="G49" s="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 x14ac:dyDescent="0.15">
      <c r="A50" s="28"/>
      <c r="B50" s="28"/>
      <c r="C50" s="28"/>
      <c r="D50" s="28"/>
      <c r="E50" s="29"/>
      <c r="F50" s="29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 x14ac:dyDescent="0.15">
      <c r="A51" s="28"/>
      <c r="B51" s="28"/>
      <c r="C51" s="28"/>
      <c r="D51" s="28"/>
      <c r="E51" s="29"/>
      <c r="F51" s="29"/>
      <c r="G51" s="29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 x14ac:dyDescent="0.15">
      <c r="A52" s="28"/>
      <c r="B52" s="28"/>
      <c r="C52" s="28"/>
      <c r="D52" s="28"/>
      <c r="E52" s="29"/>
      <c r="F52" s="29"/>
      <c r="G52" s="29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 x14ac:dyDescent="0.15">
      <c r="A53" s="28"/>
      <c r="B53" s="28"/>
      <c r="C53" s="28"/>
      <c r="D53" s="28"/>
      <c r="E53" s="29"/>
      <c r="F53" s="29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 x14ac:dyDescent="0.15">
      <c r="A54" s="28"/>
      <c r="B54" s="28"/>
      <c r="C54" s="28"/>
      <c r="D54" s="28"/>
      <c r="E54" s="29"/>
      <c r="F54" s="29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 x14ac:dyDescent="0.15">
      <c r="A55" s="28"/>
      <c r="B55" s="28"/>
      <c r="C55" s="28"/>
      <c r="D55" s="28"/>
      <c r="E55" s="29"/>
      <c r="F55" s="29"/>
      <c r="G55" s="29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 x14ac:dyDescent="0.15">
      <c r="A56" s="28"/>
      <c r="B56" s="28"/>
      <c r="C56" s="28"/>
      <c r="D56" s="28"/>
      <c r="E56" s="29"/>
      <c r="F56" s="29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 x14ac:dyDescent="0.15">
      <c r="A57" s="28"/>
      <c r="B57" s="28"/>
      <c r="C57" s="28"/>
      <c r="D57" s="28"/>
      <c r="E57" s="29"/>
      <c r="F57" s="29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 x14ac:dyDescent="0.15">
      <c r="A58" s="28"/>
      <c r="B58" s="28"/>
      <c r="C58" s="28"/>
      <c r="D58" s="28"/>
      <c r="E58" s="29"/>
      <c r="F58" s="29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 x14ac:dyDescent="0.15">
      <c r="A59" s="28"/>
      <c r="B59" s="28"/>
      <c r="C59" s="28"/>
      <c r="D59" s="28"/>
      <c r="E59" s="29"/>
      <c r="F59" s="29"/>
      <c r="G59" s="29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 x14ac:dyDescent="0.15">
      <c r="A60" s="28"/>
      <c r="B60" s="28"/>
      <c r="C60" s="28"/>
      <c r="D60" s="28"/>
      <c r="E60" s="29"/>
      <c r="F60" s="29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 x14ac:dyDescent="0.15">
      <c r="A61" s="28"/>
      <c r="B61" s="28"/>
      <c r="C61" s="28"/>
      <c r="D61" s="28"/>
      <c r="E61" s="29"/>
      <c r="F61" s="29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 x14ac:dyDescent="0.15">
      <c r="A62" s="28"/>
      <c r="B62" s="28"/>
      <c r="C62" s="28"/>
      <c r="D62" s="28"/>
      <c r="E62" s="29"/>
      <c r="F62" s="29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 x14ac:dyDescent="0.15">
      <c r="A63" s="28"/>
      <c r="B63" s="28"/>
      <c r="C63" s="28"/>
      <c r="D63" s="28"/>
      <c r="E63" s="29"/>
      <c r="F63" s="29"/>
      <c r="G63" s="29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 x14ac:dyDescent="0.15">
      <c r="A64" s="28"/>
      <c r="B64" s="28"/>
      <c r="C64" s="28"/>
      <c r="D64" s="28"/>
      <c r="E64" s="29"/>
      <c r="F64" s="29"/>
      <c r="G64" s="29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" x14ac:dyDescent="0.15">
      <c r="A65" s="28"/>
      <c r="B65" s="28"/>
      <c r="C65" s="28"/>
      <c r="D65" s="28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" x14ac:dyDescent="0.15">
      <c r="A66" s="28"/>
      <c r="B66" s="28"/>
      <c r="C66" s="28"/>
      <c r="D66" s="28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" x14ac:dyDescent="0.15">
      <c r="A67" s="28"/>
      <c r="B67" s="28"/>
      <c r="C67" s="28"/>
      <c r="D67" s="28"/>
      <c r="E67" s="29"/>
      <c r="F67" s="29"/>
      <c r="G67" s="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" x14ac:dyDescent="0.15">
      <c r="A68" s="28"/>
      <c r="B68" s="28"/>
      <c r="C68" s="28"/>
      <c r="D68" s="28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" x14ac:dyDescent="0.15">
      <c r="A69" s="28"/>
      <c r="B69" s="28"/>
      <c r="C69" s="28"/>
      <c r="D69" s="28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" x14ac:dyDescent="0.15">
      <c r="A70" s="28"/>
      <c r="B70" s="28"/>
      <c r="C70" s="28"/>
      <c r="D70" s="28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" x14ac:dyDescent="0.15">
      <c r="A71" s="28"/>
      <c r="B71" s="28"/>
      <c r="C71" s="28"/>
      <c r="D71" s="28"/>
      <c r="E71" s="29"/>
      <c r="F71" s="29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" x14ac:dyDescent="0.15">
      <c r="A72" s="28"/>
      <c r="B72" s="28"/>
      <c r="C72" s="28"/>
      <c r="D72" s="28"/>
      <c r="E72" s="29"/>
      <c r="F72" s="29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" x14ac:dyDescent="0.15">
      <c r="A73" s="28"/>
      <c r="B73" s="28"/>
      <c r="C73" s="28"/>
      <c r="D73" s="28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" x14ac:dyDescent="0.15">
      <c r="A74" s="28"/>
      <c r="B74" s="28"/>
      <c r="C74" s="28"/>
      <c r="D74" s="28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" x14ac:dyDescent="0.15">
      <c r="A75" s="28"/>
      <c r="B75" s="28"/>
      <c r="C75" s="28"/>
      <c r="D75" s="28"/>
      <c r="E75" s="29"/>
      <c r="F75" s="29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" x14ac:dyDescent="0.15">
      <c r="A76" s="28"/>
      <c r="B76" s="28"/>
      <c r="C76" s="28"/>
      <c r="D76" s="28"/>
      <c r="E76" s="29"/>
      <c r="F76" s="29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" x14ac:dyDescent="0.15">
      <c r="A77" s="28"/>
      <c r="B77" s="28"/>
      <c r="C77" s="28"/>
      <c r="D77" s="28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" x14ac:dyDescent="0.15">
      <c r="A78" s="28"/>
      <c r="B78" s="28"/>
      <c r="C78" s="28"/>
      <c r="D78" s="28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" x14ac:dyDescent="0.15">
      <c r="A79" s="28"/>
      <c r="B79" s="28"/>
      <c r="C79" s="28"/>
      <c r="D79" s="28"/>
      <c r="E79" s="29"/>
      <c r="F79" s="29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" x14ac:dyDescent="0.15">
      <c r="A80" s="28"/>
      <c r="B80" s="28"/>
      <c r="C80" s="28"/>
      <c r="D80" s="28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" x14ac:dyDescent="0.15">
      <c r="A81" s="28"/>
      <c r="B81" s="28"/>
      <c r="C81" s="28"/>
      <c r="D81" s="28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" x14ac:dyDescent="0.15">
      <c r="A82" s="28"/>
      <c r="B82" s="28"/>
      <c r="C82" s="28"/>
      <c r="D82" s="28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" x14ac:dyDescent="0.15">
      <c r="A83" s="28"/>
      <c r="B83" s="28"/>
      <c r="C83" s="28"/>
      <c r="D83" s="28"/>
      <c r="E83" s="29"/>
      <c r="F83" s="29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" x14ac:dyDescent="0.15">
      <c r="A84" s="28"/>
      <c r="B84" s="28"/>
      <c r="C84" s="28"/>
      <c r="D84" s="28"/>
      <c r="E84" s="29"/>
      <c r="F84" s="29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" x14ac:dyDescent="0.15">
      <c r="A85" s="28"/>
      <c r="B85" s="28"/>
      <c r="C85" s="28"/>
      <c r="D85" s="28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" x14ac:dyDescent="0.15">
      <c r="A86" s="28"/>
      <c r="B86" s="28"/>
      <c r="C86" s="28"/>
      <c r="D86" s="28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" x14ac:dyDescent="0.15">
      <c r="A87" s="28"/>
      <c r="B87" s="28"/>
      <c r="C87" s="28"/>
      <c r="D87" s="28"/>
      <c r="E87" s="29"/>
      <c r="F87" s="29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" x14ac:dyDescent="0.15">
      <c r="A88" s="28"/>
      <c r="B88" s="28"/>
      <c r="C88" s="28"/>
      <c r="D88" s="28"/>
      <c r="E88" s="29"/>
      <c r="F88" s="29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" x14ac:dyDescent="0.15">
      <c r="A89" s="28"/>
      <c r="B89" s="28"/>
      <c r="C89" s="28"/>
      <c r="D89" s="28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" x14ac:dyDescent="0.15">
      <c r="A90" s="28"/>
      <c r="B90" s="28"/>
      <c r="C90" s="28"/>
      <c r="D90" s="28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" x14ac:dyDescent="0.15">
      <c r="A91" s="28"/>
      <c r="B91" s="28"/>
      <c r="C91" s="28"/>
      <c r="D91" s="28"/>
      <c r="E91" s="29"/>
      <c r="F91" s="29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x14ac:dyDescent="0.15">
      <c r="A92" s="28"/>
      <c r="B92" s="28"/>
      <c r="C92" s="28"/>
      <c r="D92" s="28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x14ac:dyDescent="0.15">
      <c r="A93" s="28"/>
      <c r="B93" s="28"/>
      <c r="C93" s="28"/>
      <c r="D93" s="28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x14ac:dyDescent="0.15">
      <c r="A94" s="28"/>
      <c r="B94" s="28"/>
      <c r="C94" s="28"/>
      <c r="D94" s="28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x14ac:dyDescent="0.15">
      <c r="A95" s="28"/>
      <c r="B95" s="28"/>
      <c r="C95" s="28"/>
      <c r="D95" s="28"/>
      <c r="E95" s="29"/>
      <c r="F95" s="29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x14ac:dyDescent="0.15">
      <c r="A96" s="28"/>
      <c r="B96" s="28"/>
      <c r="C96" s="28"/>
      <c r="D96" s="28"/>
      <c r="E96" s="29"/>
      <c r="F96" s="29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x14ac:dyDescent="0.15">
      <c r="A97" s="28"/>
      <c r="B97" s="28"/>
      <c r="C97" s="28"/>
      <c r="D97" s="28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x14ac:dyDescent="0.15">
      <c r="A98" s="28"/>
      <c r="B98" s="28"/>
      <c r="C98" s="28"/>
      <c r="D98" s="28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x14ac:dyDescent="0.15">
      <c r="A99" s="28"/>
      <c r="B99" s="28"/>
      <c r="C99" s="28"/>
      <c r="D99" s="28"/>
      <c r="E99" s="29"/>
      <c r="F99" s="29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x14ac:dyDescent="0.15">
      <c r="A100" s="28"/>
      <c r="B100" s="28"/>
      <c r="C100" s="28"/>
      <c r="D100" s="28"/>
      <c r="E100" s="29"/>
      <c r="F100" s="29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x14ac:dyDescent="0.15">
      <c r="A101" s="28"/>
      <c r="B101" s="28"/>
      <c r="C101" s="28"/>
      <c r="D101" s="28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x14ac:dyDescent="0.15">
      <c r="A102" s="28"/>
      <c r="B102" s="28"/>
      <c r="C102" s="28"/>
      <c r="D102" s="28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x14ac:dyDescent="0.15">
      <c r="A103" s="28"/>
      <c r="B103" s="28"/>
      <c r="C103" s="28"/>
      <c r="D103" s="28"/>
      <c r="E103" s="29"/>
      <c r="F103" s="29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x14ac:dyDescent="0.15">
      <c r="A104" s="28"/>
      <c r="B104" s="28"/>
      <c r="C104" s="28"/>
      <c r="D104" s="28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x14ac:dyDescent="0.15">
      <c r="A105" s="28"/>
      <c r="B105" s="28"/>
      <c r="C105" s="28"/>
      <c r="D105" s="28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x14ac:dyDescent="0.15">
      <c r="A106" s="28"/>
      <c r="B106" s="28"/>
      <c r="C106" s="28"/>
      <c r="D106" s="28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x14ac:dyDescent="0.15">
      <c r="A107" s="28"/>
      <c r="B107" s="28"/>
      <c r="C107" s="28"/>
      <c r="D107" s="28"/>
      <c r="E107" s="29"/>
      <c r="F107" s="29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x14ac:dyDescent="0.15">
      <c r="A108" s="28"/>
      <c r="B108" s="28"/>
      <c r="C108" s="28"/>
      <c r="D108" s="28"/>
      <c r="E108" s="29"/>
      <c r="F108" s="29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x14ac:dyDescent="0.15">
      <c r="A109" s="28"/>
      <c r="B109" s="28"/>
      <c r="C109" s="28"/>
      <c r="D109" s="28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x14ac:dyDescent="0.15">
      <c r="A110" s="28"/>
      <c r="B110" s="28"/>
      <c r="C110" s="28"/>
      <c r="D110" s="28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x14ac:dyDescent="0.15">
      <c r="A111" s="28"/>
      <c r="B111" s="28"/>
      <c r="C111" s="28"/>
      <c r="D111" s="28"/>
      <c r="E111" s="29"/>
      <c r="F111" s="29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x14ac:dyDescent="0.15">
      <c r="A112" s="28"/>
      <c r="B112" s="28"/>
      <c r="C112" s="28"/>
      <c r="D112" s="28"/>
      <c r="E112" s="29"/>
      <c r="F112" s="29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x14ac:dyDescent="0.15">
      <c r="A113" s="28"/>
      <c r="B113" s="28"/>
      <c r="C113" s="28"/>
      <c r="D113" s="28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x14ac:dyDescent="0.15">
      <c r="A114" s="28"/>
      <c r="B114" s="28"/>
      <c r="C114" s="28"/>
      <c r="D114" s="28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x14ac:dyDescent="0.15">
      <c r="A115" s="28"/>
      <c r="B115" s="28"/>
      <c r="C115" s="28"/>
      <c r="D115" s="28"/>
      <c r="E115" s="29"/>
      <c r="F115" s="29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x14ac:dyDescent="0.15">
      <c r="A116" s="28"/>
      <c r="B116" s="28"/>
      <c r="C116" s="28"/>
      <c r="D116" s="28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x14ac:dyDescent="0.15">
      <c r="A117" s="28"/>
      <c r="B117" s="28"/>
      <c r="C117" s="28"/>
      <c r="D117" s="28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x14ac:dyDescent="0.15">
      <c r="A118" s="28"/>
      <c r="B118" s="28"/>
      <c r="C118" s="28"/>
      <c r="D118" s="28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x14ac:dyDescent="0.15">
      <c r="A119" s="28"/>
      <c r="B119" s="28"/>
      <c r="C119" s="28"/>
      <c r="D119" s="28"/>
      <c r="E119" s="29"/>
      <c r="F119" s="29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x14ac:dyDescent="0.15">
      <c r="A120" s="28"/>
      <c r="B120" s="28"/>
      <c r="C120" s="28"/>
      <c r="D120" s="28"/>
      <c r="E120" s="29"/>
      <c r="F120" s="29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x14ac:dyDescent="0.15">
      <c r="A121" s="28"/>
      <c r="B121" s="28"/>
      <c r="C121" s="28"/>
      <c r="D121" s="28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x14ac:dyDescent="0.15">
      <c r="A122" s="28"/>
      <c r="B122" s="28"/>
      <c r="C122" s="28"/>
      <c r="D122" s="28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x14ac:dyDescent="0.15">
      <c r="A123" s="28"/>
      <c r="B123" s="28"/>
      <c r="C123" s="28"/>
      <c r="D123" s="28"/>
      <c r="E123" s="29"/>
      <c r="F123" s="29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x14ac:dyDescent="0.15">
      <c r="A124" s="28"/>
      <c r="B124" s="28"/>
      <c r="C124" s="28"/>
      <c r="D124" s="28"/>
      <c r="E124" s="29"/>
      <c r="F124" s="29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x14ac:dyDescent="0.15">
      <c r="A125" s="28"/>
      <c r="B125" s="28"/>
      <c r="C125" s="28"/>
      <c r="D125" s="28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x14ac:dyDescent="0.15">
      <c r="A126" s="28"/>
      <c r="B126" s="28"/>
      <c r="C126" s="28"/>
      <c r="D126" s="28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x14ac:dyDescent="0.15">
      <c r="A127" s="28"/>
      <c r="B127" s="28"/>
      <c r="C127" s="28"/>
      <c r="D127" s="28"/>
      <c r="E127" s="29"/>
      <c r="F127" s="29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x14ac:dyDescent="0.15">
      <c r="A128" s="28"/>
      <c r="B128" s="28"/>
      <c r="C128" s="28"/>
      <c r="D128" s="28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x14ac:dyDescent="0.15">
      <c r="A129" s="28"/>
      <c r="B129" s="28"/>
      <c r="C129" s="28"/>
      <c r="D129" s="28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x14ac:dyDescent="0.15">
      <c r="A130" s="28"/>
      <c r="B130" s="28"/>
      <c r="C130" s="28"/>
      <c r="D130" s="28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x14ac:dyDescent="0.15">
      <c r="A131" s="28"/>
      <c r="B131" s="28"/>
      <c r="C131" s="28"/>
      <c r="D131" s="28"/>
      <c r="E131" s="29"/>
      <c r="F131" s="29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x14ac:dyDescent="0.15">
      <c r="A132" s="28"/>
      <c r="B132" s="28"/>
      <c r="C132" s="28"/>
      <c r="D132" s="28"/>
      <c r="E132" s="29"/>
      <c r="F132" s="29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x14ac:dyDescent="0.15">
      <c r="A133" s="28"/>
      <c r="B133" s="28"/>
      <c r="C133" s="28"/>
      <c r="D133" s="28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x14ac:dyDescent="0.15">
      <c r="A134" s="28"/>
      <c r="B134" s="28"/>
      <c r="C134" s="28"/>
      <c r="D134" s="28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x14ac:dyDescent="0.15">
      <c r="A135" s="28"/>
      <c r="B135" s="28"/>
      <c r="C135" s="28"/>
      <c r="D135" s="28"/>
      <c r="E135" s="29"/>
      <c r="F135" s="29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x14ac:dyDescent="0.15">
      <c r="A136" s="28"/>
      <c r="B136" s="28"/>
      <c r="C136" s="28"/>
      <c r="D136" s="28"/>
      <c r="E136" s="29"/>
      <c r="F136" s="29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x14ac:dyDescent="0.15">
      <c r="A137" s="28"/>
      <c r="B137" s="28"/>
      <c r="C137" s="28"/>
      <c r="D137" s="28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x14ac:dyDescent="0.15">
      <c r="A138" s="28"/>
      <c r="B138" s="28"/>
      <c r="C138" s="28"/>
      <c r="D138" s="28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x14ac:dyDescent="0.15">
      <c r="A139" s="28"/>
      <c r="B139" s="28"/>
      <c r="C139" s="28"/>
      <c r="D139" s="28"/>
      <c r="E139" s="29"/>
      <c r="F139" s="29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x14ac:dyDescent="0.15">
      <c r="A141" s="28"/>
      <c r="B141" s="28"/>
      <c r="C141" s="28"/>
      <c r="D141" s="28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x14ac:dyDescent="0.15">
      <c r="A144" s="28"/>
      <c r="B144" s="28"/>
      <c r="C144" s="28"/>
      <c r="D144" s="28"/>
      <c r="E144" s="29"/>
      <c r="F144" s="29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x14ac:dyDescent="0.15">
      <c r="A145" s="28"/>
      <c r="B145" s="28"/>
      <c r="C145" s="28"/>
      <c r="D145" s="28"/>
      <c r="E145" s="29"/>
      <c r="F145" s="29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x14ac:dyDescent="0.15">
      <c r="A146" s="28"/>
      <c r="B146" s="28"/>
      <c r="C146" s="28"/>
      <c r="D146" s="28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x14ac:dyDescent="0.15">
      <c r="A147" s="28"/>
      <c r="B147" s="28"/>
      <c r="C147" s="28"/>
      <c r="D147" s="28"/>
      <c r="E147" s="29"/>
      <c r="F147" s="29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x14ac:dyDescent="0.15">
      <c r="A148" s="28"/>
      <c r="B148" s="28"/>
      <c r="C148" s="28"/>
      <c r="D148" s="28"/>
      <c r="E148" s="29"/>
      <c r="F148" s="29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x14ac:dyDescent="0.15">
      <c r="A149" s="28"/>
      <c r="B149" s="28"/>
      <c r="C149" s="28"/>
      <c r="D149" s="28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x14ac:dyDescent="0.15">
      <c r="A150" s="28"/>
      <c r="B150" s="28"/>
      <c r="C150" s="28"/>
      <c r="D150" s="28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x14ac:dyDescent="0.15">
      <c r="A151" s="28"/>
      <c r="B151" s="28"/>
      <c r="C151" s="28"/>
      <c r="D151" s="28"/>
      <c r="E151" s="29"/>
      <c r="F151" s="29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x14ac:dyDescent="0.15">
      <c r="A152" s="28"/>
      <c r="B152" s="28"/>
      <c r="C152" s="28"/>
      <c r="D152" s="28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x14ac:dyDescent="0.15">
      <c r="A153" s="28"/>
      <c r="B153" s="28"/>
      <c r="C153" s="28"/>
      <c r="D153" s="28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x14ac:dyDescent="0.15">
      <c r="A154" s="28"/>
      <c r="B154" s="28"/>
      <c r="C154" s="28"/>
      <c r="D154" s="28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x14ac:dyDescent="0.15">
      <c r="A155" s="28"/>
      <c r="B155" s="28"/>
      <c r="C155" s="28"/>
      <c r="D155" s="28"/>
      <c r="E155" s="29"/>
      <c r="F155" s="29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x14ac:dyDescent="0.15">
      <c r="A156" s="28"/>
      <c r="B156" s="28"/>
      <c r="C156" s="28"/>
      <c r="D156" s="28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x14ac:dyDescent="0.15">
      <c r="A157" s="28"/>
      <c r="B157" s="28"/>
      <c r="C157" s="28"/>
      <c r="D157" s="28"/>
      <c r="E157" s="29"/>
      <c r="F157" s="29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x14ac:dyDescent="0.15">
      <c r="A158" s="28"/>
      <c r="B158" s="28"/>
      <c r="C158" s="28"/>
      <c r="D158" s="28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x14ac:dyDescent="0.15">
      <c r="A159" s="28"/>
      <c r="B159" s="28"/>
      <c r="C159" s="28"/>
      <c r="D159" s="28"/>
      <c r="E159" s="29"/>
      <c r="F159" s="29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x14ac:dyDescent="0.15">
      <c r="A160" s="28"/>
      <c r="B160" s="28"/>
      <c r="C160" s="28"/>
      <c r="D160" s="28"/>
      <c r="E160" s="29"/>
      <c r="F160" s="29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x14ac:dyDescent="0.15">
      <c r="A161" s="28"/>
      <c r="B161" s="28"/>
      <c r="C161" s="28"/>
      <c r="D161" s="28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x14ac:dyDescent="0.15">
      <c r="A162" s="28"/>
      <c r="B162" s="28"/>
      <c r="C162" s="28"/>
      <c r="D162" s="28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x14ac:dyDescent="0.15">
      <c r="A163" s="28"/>
      <c r="B163" s="28"/>
      <c r="C163" s="28"/>
      <c r="D163" s="28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x14ac:dyDescent="0.15">
      <c r="A164" s="28"/>
      <c r="B164" s="28"/>
      <c r="C164" s="28"/>
      <c r="D164" s="28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x14ac:dyDescent="0.15">
      <c r="A165" s="28"/>
      <c r="B165" s="28"/>
      <c r="C165" s="28"/>
      <c r="D165" s="28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x14ac:dyDescent="0.15">
      <c r="A166" s="28"/>
      <c r="B166" s="28"/>
      <c r="C166" s="28"/>
      <c r="D166" s="28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x14ac:dyDescent="0.15">
      <c r="A167" s="28"/>
      <c r="B167" s="28"/>
      <c r="C167" s="28"/>
      <c r="D167" s="28"/>
      <c r="E167" s="29"/>
      <c r="F167" s="29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x14ac:dyDescent="0.15">
      <c r="A168" s="28"/>
      <c r="B168" s="28"/>
      <c r="C168" s="28"/>
      <c r="D168" s="28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x14ac:dyDescent="0.15">
      <c r="A169" s="28"/>
      <c r="B169" s="28"/>
      <c r="C169" s="28"/>
      <c r="D169" s="28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x14ac:dyDescent="0.15">
      <c r="A170" s="28"/>
      <c r="B170" s="28"/>
      <c r="C170" s="28"/>
      <c r="D170" s="28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x14ac:dyDescent="0.15">
      <c r="A171" s="28"/>
      <c r="B171" s="28"/>
      <c r="C171" s="28"/>
      <c r="D171" s="28"/>
      <c r="E171" s="29"/>
      <c r="F171" s="29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x14ac:dyDescent="0.15">
      <c r="A172" s="28"/>
      <c r="B172" s="28"/>
      <c r="C172" s="28"/>
      <c r="D172" s="28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x14ac:dyDescent="0.15">
      <c r="A173" s="28"/>
      <c r="B173" s="28"/>
      <c r="C173" s="28"/>
      <c r="D173" s="28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x14ac:dyDescent="0.15">
      <c r="A174" s="28"/>
      <c r="B174" s="28"/>
      <c r="C174" s="28"/>
      <c r="D174" s="28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x14ac:dyDescent="0.15">
      <c r="A175" s="28"/>
      <c r="B175" s="28"/>
      <c r="C175" s="28"/>
      <c r="D175" s="28"/>
      <c r="E175" s="29"/>
      <c r="F175" s="29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x14ac:dyDescent="0.15">
      <c r="A176" s="28"/>
      <c r="B176" s="28"/>
      <c r="C176" s="28"/>
      <c r="D176" s="28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x14ac:dyDescent="0.15">
      <c r="A177" s="28"/>
      <c r="B177" s="28"/>
      <c r="C177" s="28"/>
      <c r="D177" s="28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x14ac:dyDescent="0.15">
      <c r="A178" s="28"/>
      <c r="B178" s="28"/>
      <c r="C178" s="28"/>
      <c r="D178" s="28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x14ac:dyDescent="0.15">
      <c r="A215" s="28"/>
      <c r="B215" s="28"/>
      <c r="C215" s="28"/>
      <c r="D215" s="28"/>
      <c r="E215" s="29"/>
      <c r="F215" s="29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x14ac:dyDescent="0.15">
      <c r="A216" s="28"/>
      <c r="B216" s="28"/>
      <c r="C216" s="28"/>
      <c r="D216" s="28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x14ac:dyDescent="0.15">
      <c r="A217" s="28"/>
      <c r="B217" s="28"/>
      <c r="C217" s="28"/>
      <c r="D217" s="28"/>
      <c r="E217" s="29"/>
      <c r="F217" s="29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x14ac:dyDescent="0.15">
      <c r="A218" s="28"/>
      <c r="B218" s="28"/>
      <c r="C218" s="28"/>
      <c r="D218" s="28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x14ac:dyDescent="0.15">
      <c r="A219" s="28"/>
      <c r="B219" s="28"/>
      <c r="C219" s="28"/>
      <c r="D219" s="28"/>
      <c r="E219" s="29"/>
      <c r="F219" s="29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x14ac:dyDescent="0.15">
      <c r="A220" s="28"/>
      <c r="B220" s="28"/>
      <c r="C220" s="28"/>
      <c r="D220" s="28"/>
      <c r="E220" s="29"/>
      <c r="F220" s="29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x14ac:dyDescent="0.15">
      <c r="A221" s="28"/>
      <c r="B221" s="28"/>
      <c r="C221" s="28"/>
      <c r="D221" s="28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x14ac:dyDescent="0.15">
      <c r="A222" s="28"/>
      <c r="B222" s="28"/>
      <c r="C222" s="28"/>
      <c r="D222" s="28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x14ac:dyDescent="0.15">
      <c r="A223" s="28"/>
      <c r="B223" s="28"/>
      <c r="C223" s="28"/>
      <c r="D223" s="28"/>
      <c r="E223" s="29"/>
      <c r="F223" s="29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x14ac:dyDescent="0.15">
      <c r="A224" s="28"/>
      <c r="B224" s="28"/>
      <c r="C224" s="28"/>
      <c r="D224" s="28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x14ac:dyDescent="0.15">
      <c r="A225" s="28"/>
      <c r="B225" s="28"/>
      <c r="C225" s="28"/>
      <c r="D225" s="28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x14ac:dyDescent="0.15">
      <c r="A226" s="28"/>
      <c r="B226" s="28"/>
      <c r="C226" s="28"/>
      <c r="D226" s="28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x14ac:dyDescent="0.15">
      <c r="A227" s="28"/>
      <c r="B227" s="28"/>
      <c r="C227" s="28"/>
      <c r="D227" s="28"/>
      <c r="E227" s="29"/>
      <c r="F227" s="29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x14ac:dyDescent="0.15">
      <c r="A228" s="28"/>
      <c r="B228" s="28"/>
      <c r="C228" s="28"/>
      <c r="D228" s="28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x14ac:dyDescent="0.15">
      <c r="A229" s="28"/>
      <c r="B229" s="28"/>
      <c r="C229" s="28"/>
      <c r="D229" s="28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x14ac:dyDescent="0.15">
      <c r="A230" s="28"/>
      <c r="B230" s="28"/>
      <c r="C230" s="28"/>
      <c r="D230" s="28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x14ac:dyDescent="0.15">
      <c r="A231" s="28"/>
      <c r="B231" s="28"/>
      <c r="C231" s="28"/>
      <c r="D231" s="28"/>
      <c r="E231" s="29"/>
      <c r="F231" s="29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x14ac:dyDescent="0.15">
      <c r="A232" s="28"/>
      <c r="B232" s="28"/>
      <c r="C232" s="28"/>
      <c r="D232" s="28"/>
      <c r="E232" s="29"/>
      <c r="F232" s="29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x14ac:dyDescent="0.15">
      <c r="A233" s="28"/>
      <c r="B233" s="28"/>
      <c r="C233" s="28"/>
      <c r="D233" s="28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x14ac:dyDescent="0.15">
      <c r="A234" s="28"/>
      <c r="B234" s="28"/>
      <c r="C234" s="28"/>
      <c r="D234" s="28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x14ac:dyDescent="0.15">
      <c r="A235" s="28"/>
      <c r="B235" s="28"/>
      <c r="C235" s="28"/>
      <c r="D235" s="28"/>
      <c r="E235" s="29"/>
      <c r="F235" s="29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x14ac:dyDescent="0.15">
      <c r="A236" s="28"/>
      <c r="B236" s="28"/>
      <c r="C236" s="28"/>
      <c r="D236" s="28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" x14ac:dyDescent="0.15">
      <c r="A237" s="28"/>
      <c r="B237" s="28"/>
      <c r="C237" s="28"/>
      <c r="D237" s="28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" x14ac:dyDescent="0.15">
      <c r="A238" s="28"/>
      <c r="B238" s="28"/>
      <c r="C238" s="28"/>
      <c r="D238" s="28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" x14ac:dyDescent="0.15">
      <c r="A239" s="28"/>
      <c r="B239" s="28"/>
      <c r="C239" s="28"/>
      <c r="D239" s="28"/>
      <c r="E239" s="29"/>
      <c r="F239" s="29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" x14ac:dyDescent="0.15">
      <c r="A240" s="28"/>
      <c r="B240" s="28"/>
      <c r="C240" s="28"/>
      <c r="D240" s="28"/>
      <c r="E240" s="29"/>
      <c r="F240" s="29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" x14ac:dyDescent="0.15">
      <c r="A241" s="28"/>
      <c r="B241" s="28"/>
      <c r="C241" s="28"/>
      <c r="D241" s="28"/>
      <c r="E241" s="29"/>
      <c r="F241" s="29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" x14ac:dyDescent="0.15">
      <c r="A242" s="28"/>
      <c r="B242" s="28"/>
      <c r="C242" s="28"/>
      <c r="D242" s="28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" x14ac:dyDescent="0.15">
      <c r="A243" s="28"/>
      <c r="B243" s="28"/>
      <c r="C243" s="28"/>
      <c r="D243" s="28"/>
      <c r="E243" s="29"/>
      <c r="F243" s="29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" x14ac:dyDescent="0.15">
      <c r="A244" s="28"/>
      <c r="B244" s="28"/>
      <c r="C244" s="28"/>
      <c r="D244" s="28"/>
      <c r="E244" s="29"/>
      <c r="F244" s="29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" x14ac:dyDescent="0.15">
      <c r="A245" s="28"/>
      <c r="B245" s="28"/>
      <c r="C245" s="28"/>
      <c r="D245" s="28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" x14ac:dyDescent="0.15">
      <c r="A246" s="28"/>
      <c r="B246" s="28"/>
      <c r="C246" s="28"/>
      <c r="D246" s="28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" x14ac:dyDescent="0.15">
      <c r="A247" s="28"/>
      <c r="B247" s="28"/>
      <c r="C247" s="28"/>
      <c r="D247" s="28"/>
      <c r="E247" s="29"/>
      <c r="F247" s="29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" x14ac:dyDescent="0.15">
      <c r="A248" s="28"/>
      <c r="B248" s="28"/>
      <c r="C248" s="28"/>
      <c r="D248" s="28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" x14ac:dyDescent="0.15">
      <c r="A249" s="28"/>
      <c r="B249" s="28"/>
      <c r="C249" s="28"/>
      <c r="D249" s="28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x14ac:dyDescent="0.15">
      <c r="A250" s="28"/>
      <c r="B250" s="28"/>
      <c r="C250" s="28"/>
      <c r="D250" s="28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x14ac:dyDescent="0.15">
      <c r="A251" s="28"/>
      <c r="B251" s="28"/>
      <c r="C251" s="28"/>
      <c r="D251" s="28"/>
      <c r="E251" s="29"/>
      <c r="F251" s="29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x14ac:dyDescent="0.15">
      <c r="A252" s="28"/>
      <c r="B252" s="28"/>
      <c r="C252" s="28"/>
      <c r="D252" s="28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x14ac:dyDescent="0.15">
      <c r="A253" s="28"/>
      <c r="B253" s="28"/>
      <c r="C253" s="28"/>
      <c r="D253" s="28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x14ac:dyDescent="0.15">
      <c r="A254" s="28"/>
      <c r="B254" s="28"/>
      <c r="C254" s="28"/>
      <c r="D254" s="28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x14ac:dyDescent="0.15">
      <c r="A255" s="28"/>
      <c r="B255" s="28"/>
      <c r="C255" s="28"/>
      <c r="D255" s="28"/>
      <c r="E255" s="29"/>
      <c r="F255" s="29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x14ac:dyDescent="0.15">
      <c r="A256" s="28"/>
      <c r="B256" s="28"/>
      <c r="C256" s="28"/>
      <c r="D256" s="28"/>
      <c r="E256" s="29"/>
      <c r="F256" s="29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x14ac:dyDescent="0.15">
      <c r="A257" s="28"/>
      <c r="B257" s="28"/>
      <c r="C257" s="28"/>
      <c r="D257" s="28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x14ac:dyDescent="0.15">
      <c r="A258" s="28"/>
      <c r="B258" s="28"/>
      <c r="C258" s="28"/>
      <c r="D258" s="28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x14ac:dyDescent="0.15">
      <c r="A259" s="28"/>
      <c r="B259" s="28"/>
      <c r="C259" s="28"/>
      <c r="D259" s="28"/>
      <c r="E259" s="29"/>
      <c r="F259" s="29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x14ac:dyDescent="0.15">
      <c r="A260" s="28"/>
      <c r="B260" s="28"/>
      <c r="C260" s="28"/>
      <c r="D260" s="28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x14ac:dyDescent="0.15">
      <c r="A261" s="28"/>
      <c r="B261" s="28"/>
      <c r="C261" s="28"/>
      <c r="D261" s="28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x14ac:dyDescent="0.15">
      <c r="A262" s="28"/>
      <c r="B262" s="28"/>
      <c r="C262" s="28"/>
      <c r="D262" s="28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x14ac:dyDescent="0.15">
      <c r="A263" s="28"/>
      <c r="B263" s="28"/>
      <c r="C263" s="28"/>
      <c r="D263" s="28"/>
      <c r="E263" s="29"/>
      <c r="F263" s="29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x14ac:dyDescent="0.15">
      <c r="A264" s="28"/>
      <c r="B264" s="28"/>
      <c r="C264" s="28"/>
      <c r="D264" s="28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x14ac:dyDescent="0.15">
      <c r="A265" s="28"/>
      <c r="B265" s="28"/>
      <c r="C265" s="28"/>
      <c r="D265" s="28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x14ac:dyDescent="0.15">
      <c r="A266" s="28"/>
      <c r="B266" s="28"/>
      <c r="C266" s="28"/>
      <c r="D266" s="28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x14ac:dyDescent="0.15">
      <c r="A267" s="28"/>
      <c r="B267" s="28"/>
      <c r="C267" s="28"/>
      <c r="D267" s="28"/>
      <c r="E267" s="29"/>
      <c r="F267" s="29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x14ac:dyDescent="0.15">
      <c r="A268" s="28"/>
      <c r="B268" s="28"/>
      <c r="C268" s="28"/>
      <c r="D268" s="28"/>
      <c r="E268" s="29"/>
      <c r="F268" s="29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x14ac:dyDescent="0.15">
      <c r="A269" s="28"/>
      <c r="B269" s="28"/>
      <c r="C269" s="28"/>
      <c r="D269" s="28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x14ac:dyDescent="0.15">
      <c r="A270" s="28"/>
      <c r="B270" s="28"/>
      <c r="C270" s="28"/>
      <c r="D270" s="28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x14ac:dyDescent="0.15">
      <c r="A271" s="28"/>
      <c r="B271" s="28"/>
      <c r="C271" s="28"/>
      <c r="D271" s="28"/>
      <c r="E271" s="29"/>
      <c r="F271" s="29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4" x14ac:dyDescent="0.2">
      <c r="A286" s="28"/>
      <c r="B286" s="28"/>
      <c r="C286" s="28"/>
      <c r="D286" s="28"/>
      <c r="E286" s="10"/>
      <c r="F286" s="10"/>
      <c r="G286" s="10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4" x14ac:dyDescent="0.2">
      <c r="A287" s="28"/>
      <c r="B287" s="28"/>
      <c r="C287" s="28"/>
      <c r="D287" s="28"/>
      <c r="E287" s="10"/>
      <c r="F287" s="10"/>
      <c r="G287" s="10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4" x14ac:dyDescent="0.2">
      <c r="A288" s="28"/>
      <c r="B288" s="28"/>
      <c r="C288" s="28"/>
      <c r="D288" s="28"/>
      <c r="E288" s="10"/>
      <c r="F288" s="10"/>
      <c r="G288" s="10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4" x14ac:dyDescent="0.2">
      <c r="A289" s="28"/>
      <c r="B289" s="28"/>
      <c r="C289" s="28"/>
      <c r="D289" s="28"/>
      <c r="E289" s="10"/>
      <c r="F289" s="10"/>
      <c r="G289" s="10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4" x14ac:dyDescent="0.2">
      <c r="A290" s="28"/>
      <c r="B290" s="28"/>
      <c r="C290" s="28"/>
      <c r="D290" s="28"/>
      <c r="E290" s="10"/>
      <c r="F290" s="10"/>
      <c r="G290" s="10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4" x14ac:dyDescent="0.2">
      <c r="A291" s="28"/>
      <c r="B291" s="28"/>
      <c r="C291" s="28"/>
      <c r="D291" s="28"/>
      <c r="E291" s="10"/>
      <c r="F291" s="10"/>
      <c r="G291" s="10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4" x14ac:dyDescent="0.2">
      <c r="A292" s="28"/>
      <c r="B292" s="28"/>
      <c r="C292" s="28"/>
      <c r="D292" s="28"/>
      <c r="E292" s="10"/>
      <c r="F292" s="10"/>
      <c r="G292" s="10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4" x14ac:dyDescent="0.2">
      <c r="A293" s="28"/>
      <c r="B293" s="28"/>
      <c r="C293" s="28"/>
      <c r="D293" s="28"/>
      <c r="E293" s="10"/>
      <c r="F293" s="10"/>
      <c r="G293" s="10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4" x14ac:dyDescent="0.2">
      <c r="A294" s="28"/>
      <c r="B294" s="28"/>
      <c r="C294" s="28"/>
      <c r="D294" s="28"/>
      <c r="E294" s="10"/>
      <c r="F294" s="10"/>
      <c r="G294" s="10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4" x14ac:dyDescent="0.2">
      <c r="A295" s="28"/>
      <c r="B295" s="28"/>
      <c r="C295" s="28"/>
      <c r="D295" s="28"/>
      <c r="E295" s="10"/>
      <c r="F295" s="10"/>
      <c r="G295" s="10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4" x14ac:dyDescent="0.2">
      <c r="A296" s="28"/>
      <c r="B296" s="28"/>
      <c r="C296" s="28"/>
      <c r="D296" s="28"/>
      <c r="E296" s="10"/>
      <c r="F296" s="10"/>
      <c r="G296" s="10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4" x14ac:dyDescent="0.2">
      <c r="A297" s="28"/>
      <c r="B297" s="28"/>
      <c r="C297" s="28"/>
      <c r="D297" s="28"/>
      <c r="E297" s="10"/>
      <c r="F297" s="10"/>
      <c r="G297" s="10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4" x14ac:dyDescent="0.2">
      <c r="A298" s="28"/>
      <c r="B298" s="28"/>
      <c r="C298" s="28"/>
      <c r="D298" s="28"/>
      <c r="E298" s="10"/>
      <c r="F298" s="10"/>
      <c r="G298" s="10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4" x14ac:dyDescent="0.2">
      <c r="A299" s="28"/>
      <c r="B299" s="28"/>
      <c r="C299" s="28"/>
      <c r="D299" s="28"/>
      <c r="E299" s="10"/>
      <c r="F299" s="10"/>
      <c r="G299" s="10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4" x14ac:dyDescent="0.2">
      <c r="A300" s="28"/>
      <c r="B300" s="28"/>
      <c r="C300" s="28"/>
      <c r="D300" s="28"/>
      <c r="E300" s="10"/>
      <c r="F300" s="10"/>
      <c r="G300" s="10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4" x14ac:dyDescent="0.2">
      <c r="A301" s="28"/>
      <c r="B301" s="28"/>
      <c r="C301" s="28"/>
      <c r="D301" s="28"/>
      <c r="E301" s="10"/>
      <c r="F301" s="10"/>
      <c r="G301" s="10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4" x14ac:dyDescent="0.2">
      <c r="A302" s="28"/>
      <c r="B302" s="28"/>
      <c r="C302" s="28"/>
      <c r="D302" s="28"/>
      <c r="E302" s="10"/>
      <c r="F302" s="10"/>
      <c r="G302" s="10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4" x14ac:dyDescent="0.2">
      <c r="A303" s="28"/>
      <c r="B303" s="28"/>
      <c r="C303" s="28"/>
      <c r="D303" s="28"/>
      <c r="E303" s="10"/>
      <c r="F303" s="10"/>
      <c r="G303" s="10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4" x14ac:dyDescent="0.2">
      <c r="A304" s="28"/>
      <c r="B304" s="28"/>
      <c r="C304" s="28"/>
      <c r="D304" s="28"/>
      <c r="E304" s="10"/>
      <c r="F304" s="10"/>
      <c r="G304" s="10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4" x14ac:dyDescent="0.2">
      <c r="A305" s="28"/>
      <c r="B305" s="28"/>
      <c r="C305" s="28"/>
      <c r="D305" s="28"/>
      <c r="E305" s="10"/>
      <c r="F305" s="10"/>
      <c r="G305" s="10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4" x14ac:dyDescent="0.2">
      <c r="A306" s="28"/>
      <c r="B306" s="28"/>
      <c r="C306" s="28"/>
      <c r="D306" s="28"/>
      <c r="E306" s="10"/>
      <c r="F306" s="10"/>
      <c r="G306" s="10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4" x14ac:dyDescent="0.2">
      <c r="A307" s="28"/>
      <c r="B307" s="28"/>
      <c r="C307" s="28"/>
      <c r="D307" s="28"/>
      <c r="E307" s="10"/>
      <c r="F307" s="10"/>
      <c r="G307" s="10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4" x14ac:dyDescent="0.2">
      <c r="A308" s="28"/>
      <c r="B308" s="28"/>
      <c r="C308" s="28"/>
      <c r="D308" s="28"/>
      <c r="E308" s="10"/>
      <c r="F308" s="10"/>
      <c r="G308" s="10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4" x14ac:dyDescent="0.2">
      <c r="A309" s="28"/>
      <c r="B309" s="28"/>
      <c r="C309" s="28"/>
      <c r="D309" s="28"/>
      <c r="E309" s="10"/>
      <c r="F309" s="10"/>
      <c r="G309" s="10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4" x14ac:dyDescent="0.2">
      <c r="A310" s="28"/>
      <c r="B310" s="28"/>
      <c r="C310" s="28"/>
      <c r="D310" s="28"/>
      <c r="E310" s="10"/>
      <c r="F310" s="10"/>
      <c r="G310" s="10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4" x14ac:dyDescent="0.2">
      <c r="A311" s="28"/>
      <c r="B311" s="28"/>
      <c r="C311" s="28"/>
      <c r="D311" s="28"/>
      <c r="E311" s="10"/>
      <c r="F311" s="10"/>
      <c r="G311" s="10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4" x14ac:dyDescent="0.2">
      <c r="A312" s="28"/>
      <c r="B312" s="28"/>
      <c r="C312" s="28"/>
      <c r="D312" s="28"/>
      <c r="E312" s="10"/>
      <c r="F312" s="10"/>
      <c r="G312" s="10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4" x14ac:dyDescent="0.2">
      <c r="A313" s="28"/>
      <c r="B313" s="28"/>
      <c r="C313" s="28"/>
      <c r="D313" s="28"/>
      <c r="E313" s="10"/>
      <c r="F313" s="10"/>
      <c r="G313" s="10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4" x14ac:dyDescent="0.2">
      <c r="A314" s="28"/>
      <c r="B314" s="28"/>
      <c r="C314" s="28"/>
      <c r="D314" s="28"/>
      <c r="E314" s="10"/>
      <c r="F314" s="10"/>
      <c r="G314" s="10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4" x14ac:dyDescent="0.2">
      <c r="A315" s="28"/>
      <c r="B315" s="28"/>
      <c r="C315" s="28"/>
      <c r="D315" s="28"/>
      <c r="E315" s="10"/>
      <c r="F315" s="10"/>
      <c r="G315" s="10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4" x14ac:dyDescent="0.2">
      <c r="A316" s="28"/>
      <c r="B316" s="28"/>
      <c r="C316" s="28"/>
      <c r="D316" s="28"/>
      <c r="E316" s="10"/>
      <c r="F316" s="10"/>
      <c r="G316" s="10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4" x14ac:dyDescent="0.2">
      <c r="A317" s="28"/>
      <c r="B317" s="28"/>
      <c r="C317" s="28"/>
      <c r="D317" s="28"/>
      <c r="E317" s="10"/>
      <c r="F317" s="10"/>
      <c r="G317" s="10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4" x14ac:dyDescent="0.2">
      <c r="A318" s="28"/>
      <c r="B318" s="28"/>
      <c r="C318" s="28"/>
      <c r="D318" s="28"/>
      <c r="E318" s="10"/>
      <c r="F318" s="10"/>
      <c r="G318" s="10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4" x14ac:dyDescent="0.2">
      <c r="A319" s="28"/>
      <c r="B319" s="28"/>
      <c r="C319" s="28"/>
      <c r="D319" s="28"/>
      <c r="E319" s="10"/>
      <c r="F319" s="10"/>
      <c r="G319" s="10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4" x14ac:dyDescent="0.2">
      <c r="A320" s="28"/>
      <c r="B320" s="28"/>
      <c r="C320" s="28"/>
      <c r="D320" s="28"/>
      <c r="E320" s="10"/>
      <c r="F320" s="10"/>
      <c r="G320" s="10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x14ac:dyDescent="0.15">
      <c r="A724" s="28"/>
      <c r="B724" s="28"/>
      <c r="C724" s="28"/>
      <c r="D724" s="28"/>
      <c r="E724" s="29"/>
      <c r="F724" s="29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x14ac:dyDescent="0.15">
      <c r="A725" s="28"/>
      <c r="B725" s="28"/>
      <c r="C725" s="28"/>
      <c r="D725" s="28"/>
      <c r="E725" s="29"/>
      <c r="F725" s="29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x14ac:dyDescent="0.15">
      <c r="A726" s="28"/>
      <c r="B726" s="28"/>
      <c r="C726" s="28"/>
      <c r="D726" s="28"/>
      <c r="E726" s="29"/>
      <c r="F726" s="29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x14ac:dyDescent="0.15">
      <c r="A727" s="28"/>
      <c r="B727" s="28"/>
      <c r="C727" s="28"/>
      <c r="D727" s="28"/>
      <c r="E727" s="29"/>
      <c r="F727" s="29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x14ac:dyDescent="0.15">
      <c r="A728" s="28"/>
      <c r="B728" s="28"/>
      <c r="C728" s="28"/>
      <c r="D728" s="28"/>
      <c r="E728" s="29"/>
      <c r="F728" s="29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" x14ac:dyDescent="0.15">
      <c r="A729" s="28"/>
      <c r="B729" s="28"/>
      <c r="C729" s="28"/>
      <c r="D729" s="28"/>
      <c r="E729" s="29"/>
      <c r="F729" s="29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" x14ac:dyDescent="0.15">
      <c r="A730" s="28"/>
      <c r="B730" s="28"/>
      <c r="C730" s="28"/>
      <c r="D730" s="28"/>
      <c r="E730" s="29"/>
      <c r="F730" s="29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" x14ac:dyDescent="0.15">
      <c r="A731" s="28"/>
      <c r="B731" s="28"/>
      <c r="C731" s="28"/>
      <c r="D731" s="28"/>
      <c r="E731" s="29"/>
      <c r="F731" s="29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" x14ac:dyDescent="0.15">
      <c r="A732" s="28"/>
      <c r="B732" s="28"/>
      <c r="C732" s="28"/>
      <c r="D732" s="28"/>
      <c r="E732" s="29"/>
      <c r="F732" s="29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" x14ac:dyDescent="0.15">
      <c r="A733" s="28"/>
      <c r="B733" s="28"/>
      <c r="C733" s="28"/>
      <c r="D733" s="28"/>
      <c r="E733" s="29"/>
      <c r="F733" s="29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" x14ac:dyDescent="0.15">
      <c r="A734" s="28"/>
      <c r="B734" s="28"/>
      <c r="C734" s="28"/>
      <c r="D734" s="28"/>
      <c r="E734" s="29"/>
      <c r="F734" s="29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" x14ac:dyDescent="0.15">
      <c r="A735" s="28"/>
      <c r="B735" s="28"/>
      <c r="C735" s="28"/>
      <c r="D735" s="28"/>
      <c r="E735" s="29"/>
      <c r="F735" s="29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" x14ac:dyDescent="0.15">
      <c r="A736" s="28"/>
      <c r="B736" s="28"/>
      <c r="C736" s="28"/>
      <c r="D736" s="28"/>
      <c r="E736" s="29"/>
      <c r="F736" s="29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" x14ac:dyDescent="0.15">
      <c r="A737" s="28"/>
      <c r="B737" s="28"/>
      <c r="C737" s="28"/>
      <c r="D737" s="28"/>
      <c r="E737" s="29"/>
      <c r="F737" s="29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" x14ac:dyDescent="0.15">
      <c r="A738" s="28"/>
      <c r="B738" s="28"/>
      <c r="C738" s="28"/>
      <c r="D738" s="28"/>
      <c r="E738" s="29"/>
      <c r="F738" s="29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" x14ac:dyDescent="0.15">
      <c r="A739" s="28"/>
      <c r="B739" s="28"/>
      <c r="C739" s="28"/>
      <c r="D739" s="28"/>
      <c r="E739" s="29"/>
      <c r="F739" s="29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" x14ac:dyDescent="0.15">
      <c r="A740" s="28"/>
      <c r="B740" s="28"/>
      <c r="C740" s="28"/>
      <c r="D740" s="28"/>
      <c r="E740" s="29"/>
      <c r="F740" s="29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" x14ac:dyDescent="0.15">
      <c r="A741" s="28"/>
      <c r="B741" s="28"/>
      <c r="C741" s="28"/>
      <c r="D741" s="28"/>
      <c r="E741" s="29"/>
      <c r="F741" s="29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" x14ac:dyDescent="0.15">
      <c r="A742" s="28"/>
      <c r="B742" s="28"/>
      <c r="C742" s="28"/>
      <c r="D742" s="28"/>
      <c r="E742" s="29"/>
      <c r="F742" s="29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" x14ac:dyDescent="0.15">
      <c r="A743" s="28"/>
      <c r="B743" s="28"/>
      <c r="C743" s="28"/>
      <c r="D743" s="28"/>
      <c r="E743" s="29"/>
      <c r="F743" s="29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" x14ac:dyDescent="0.15">
      <c r="A744" s="28"/>
      <c r="B744" s="28"/>
      <c r="C744" s="28"/>
      <c r="D744" s="28"/>
      <c r="E744" s="29"/>
      <c r="F744" s="29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" x14ac:dyDescent="0.15">
      <c r="A745" s="28"/>
      <c r="B745" s="28"/>
      <c r="C745" s="28"/>
      <c r="D745" s="28"/>
      <c r="E745" s="29"/>
      <c r="F745" s="29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" x14ac:dyDescent="0.15">
      <c r="A746" s="28"/>
      <c r="B746" s="28"/>
      <c r="C746" s="28"/>
      <c r="D746" s="28"/>
      <c r="E746" s="29"/>
      <c r="F746" s="29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" x14ac:dyDescent="0.15">
      <c r="A747" s="28"/>
      <c r="B747" s="28"/>
      <c r="C747" s="28"/>
      <c r="D747" s="28"/>
      <c r="E747" s="29"/>
      <c r="F747" s="29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" x14ac:dyDescent="0.15">
      <c r="A748" s="28"/>
      <c r="B748" s="28"/>
      <c r="C748" s="28"/>
      <c r="D748" s="28"/>
      <c r="E748" s="29"/>
      <c r="F748" s="29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" x14ac:dyDescent="0.15">
      <c r="A749" s="28"/>
      <c r="B749" s="28"/>
      <c r="C749" s="28"/>
      <c r="D749" s="28"/>
      <c r="E749" s="29"/>
      <c r="F749" s="29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" x14ac:dyDescent="0.15">
      <c r="A750" s="28"/>
      <c r="B750" s="28"/>
      <c r="C750" s="28"/>
      <c r="D750" s="28"/>
      <c r="E750" s="29"/>
      <c r="F750" s="29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" x14ac:dyDescent="0.15">
      <c r="A751" s="28"/>
      <c r="B751" s="28"/>
      <c r="C751" s="28"/>
      <c r="D751" s="28"/>
      <c r="E751" s="29"/>
      <c r="F751" s="29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" x14ac:dyDescent="0.15">
      <c r="A752" s="28"/>
      <c r="B752" s="28"/>
      <c r="C752" s="28"/>
      <c r="D752" s="28"/>
      <c r="E752" s="29"/>
      <c r="F752" s="29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" x14ac:dyDescent="0.15">
      <c r="A753" s="28"/>
      <c r="B753" s="28"/>
      <c r="C753" s="28"/>
      <c r="D753" s="28"/>
      <c r="E753" s="29"/>
      <c r="F753" s="29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" x14ac:dyDescent="0.15">
      <c r="A754" s="28"/>
      <c r="B754" s="28"/>
      <c r="C754" s="28"/>
      <c r="D754" s="28"/>
      <c r="E754" s="29"/>
      <c r="F754" s="29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" x14ac:dyDescent="0.15">
      <c r="A755" s="28"/>
      <c r="B755" s="28"/>
      <c r="C755" s="28"/>
      <c r="D755" s="28"/>
      <c r="E755" s="29"/>
      <c r="F755" s="29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" x14ac:dyDescent="0.15">
      <c r="A756" s="28"/>
      <c r="B756" s="28"/>
      <c r="C756" s="28"/>
      <c r="D756" s="28"/>
      <c r="E756" s="29"/>
      <c r="F756" s="29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" x14ac:dyDescent="0.15">
      <c r="A757" s="28"/>
      <c r="B757" s="28"/>
      <c r="C757" s="28"/>
      <c r="D757" s="28"/>
      <c r="E757" s="29"/>
      <c r="F757" s="29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" x14ac:dyDescent="0.15">
      <c r="A758" s="28"/>
      <c r="B758" s="28"/>
      <c r="C758" s="28"/>
      <c r="D758" s="28"/>
      <c r="E758" s="29"/>
      <c r="F758" s="29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" x14ac:dyDescent="0.15">
      <c r="A759" s="28"/>
      <c r="B759" s="28"/>
      <c r="C759" s="28"/>
      <c r="D759" s="28"/>
      <c r="E759" s="29"/>
      <c r="F759" s="29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" x14ac:dyDescent="0.15">
      <c r="A760" s="28"/>
      <c r="B760" s="28"/>
      <c r="C760" s="28"/>
      <c r="D760" s="28"/>
      <c r="E760" s="29"/>
      <c r="F760" s="29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" x14ac:dyDescent="0.15">
      <c r="A761" s="28"/>
      <c r="B761" s="28"/>
      <c r="C761" s="28"/>
      <c r="D761" s="28"/>
      <c r="E761" s="29"/>
      <c r="F761" s="29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" x14ac:dyDescent="0.15">
      <c r="A762" s="28"/>
      <c r="B762" s="28"/>
      <c r="C762" s="28"/>
      <c r="D762" s="28"/>
      <c r="E762" s="29"/>
      <c r="F762" s="29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" x14ac:dyDescent="0.15">
      <c r="A763" s="28"/>
      <c r="B763" s="28"/>
      <c r="C763" s="28"/>
      <c r="D763" s="28"/>
      <c r="E763" s="29"/>
      <c r="F763" s="29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" x14ac:dyDescent="0.15">
      <c r="A764" s="28"/>
      <c r="B764" s="28"/>
      <c r="C764" s="28"/>
      <c r="D764" s="28"/>
      <c r="E764" s="29"/>
      <c r="F764" s="29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" x14ac:dyDescent="0.15">
      <c r="A765" s="28"/>
      <c r="B765" s="28"/>
      <c r="C765" s="28"/>
      <c r="D765" s="28"/>
      <c r="E765" s="29"/>
      <c r="F765" s="29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" x14ac:dyDescent="0.15">
      <c r="A766" s="28"/>
      <c r="B766" s="28"/>
      <c r="C766" s="28"/>
      <c r="D766" s="28"/>
      <c r="E766" s="29"/>
      <c r="F766" s="29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" x14ac:dyDescent="0.15">
      <c r="A767" s="28"/>
      <c r="B767" s="28"/>
      <c r="C767" s="28"/>
      <c r="D767" s="28"/>
      <c r="E767" s="29"/>
      <c r="F767" s="29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" x14ac:dyDescent="0.15">
      <c r="A768" s="28"/>
      <c r="B768" s="28"/>
      <c r="C768" s="28"/>
      <c r="D768" s="28"/>
      <c r="E768" s="29"/>
      <c r="F768" s="29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" x14ac:dyDescent="0.15">
      <c r="A769" s="28"/>
      <c r="B769" s="28"/>
      <c r="C769" s="28"/>
      <c r="D769" s="28"/>
      <c r="E769" s="29"/>
      <c r="F769" s="29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" x14ac:dyDescent="0.15">
      <c r="A770" s="28"/>
      <c r="B770" s="28"/>
      <c r="C770" s="28"/>
      <c r="D770" s="28"/>
      <c r="E770" s="29"/>
      <c r="F770" s="29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" x14ac:dyDescent="0.15">
      <c r="A771" s="28"/>
      <c r="B771" s="28"/>
      <c r="C771" s="28"/>
      <c r="D771" s="28"/>
      <c r="E771" s="29"/>
      <c r="F771" s="29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" x14ac:dyDescent="0.15">
      <c r="A772" s="28"/>
      <c r="B772" s="28"/>
      <c r="C772" s="28"/>
      <c r="D772" s="28"/>
      <c r="E772" s="29"/>
      <c r="F772" s="29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" x14ac:dyDescent="0.15">
      <c r="A773" s="28"/>
      <c r="B773" s="28"/>
      <c r="C773" s="28"/>
      <c r="D773" s="28"/>
      <c r="E773" s="29"/>
      <c r="F773" s="29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" x14ac:dyDescent="0.15">
      <c r="A774" s="28"/>
      <c r="B774" s="28"/>
      <c r="C774" s="28"/>
      <c r="D774" s="28"/>
      <c r="E774" s="29"/>
      <c r="F774" s="29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" x14ac:dyDescent="0.15">
      <c r="A775" s="28"/>
      <c r="B775" s="28"/>
      <c r="C775" s="28"/>
      <c r="D775" s="28"/>
      <c r="E775" s="29"/>
      <c r="F775" s="29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" x14ac:dyDescent="0.15">
      <c r="A776" s="28"/>
      <c r="B776" s="28"/>
      <c r="C776" s="28"/>
      <c r="D776" s="28"/>
      <c r="E776" s="29"/>
      <c r="F776" s="29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" x14ac:dyDescent="0.15">
      <c r="A777" s="28"/>
      <c r="B777" s="28"/>
      <c r="C777" s="28"/>
      <c r="D777" s="28"/>
      <c r="E777" s="29"/>
      <c r="F777" s="29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" x14ac:dyDescent="0.15">
      <c r="A778" s="28"/>
      <c r="B778" s="28"/>
      <c r="C778" s="28"/>
      <c r="D778" s="28"/>
      <c r="E778" s="29"/>
      <c r="F778" s="29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" x14ac:dyDescent="0.15">
      <c r="A779" s="28"/>
      <c r="B779" s="28"/>
      <c r="C779" s="28"/>
      <c r="D779" s="28"/>
      <c r="E779" s="29"/>
      <c r="F779" s="29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" x14ac:dyDescent="0.15">
      <c r="A780" s="28"/>
      <c r="B780" s="28"/>
      <c r="C780" s="28"/>
      <c r="D780" s="28"/>
      <c r="E780" s="29"/>
      <c r="F780" s="29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" x14ac:dyDescent="0.15">
      <c r="A781" s="28"/>
      <c r="B781" s="28"/>
      <c r="C781" s="28"/>
      <c r="D781" s="28"/>
      <c r="E781" s="29"/>
      <c r="F781" s="29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" x14ac:dyDescent="0.15">
      <c r="A782" s="28"/>
      <c r="B782" s="28"/>
      <c r="C782" s="28"/>
      <c r="D782" s="28"/>
      <c r="E782" s="29"/>
      <c r="F782" s="29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" x14ac:dyDescent="0.15">
      <c r="A783" s="28"/>
      <c r="B783" s="28"/>
      <c r="C783" s="28"/>
      <c r="D783" s="28"/>
      <c r="E783" s="29"/>
      <c r="F783" s="29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" x14ac:dyDescent="0.15">
      <c r="A784" s="28"/>
      <c r="B784" s="28"/>
      <c r="C784" s="28"/>
      <c r="D784" s="28"/>
      <c r="E784" s="29"/>
      <c r="F784" s="29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" x14ac:dyDescent="0.15">
      <c r="A785" s="28"/>
      <c r="B785" s="28"/>
      <c r="C785" s="28"/>
      <c r="D785" s="28"/>
      <c r="E785" s="29"/>
      <c r="F785" s="29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" x14ac:dyDescent="0.15">
      <c r="A786" s="28"/>
      <c r="B786" s="28"/>
      <c r="C786" s="28"/>
      <c r="D786" s="28"/>
      <c r="E786" s="29"/>
      <c r="F786" s="29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" x14ac:dyDescent="0.15">
      <c r="A787" s="28"/>
      <c r="B787" s="28"/>
      <c r="C787" s="28"/>
      <c r="D787" s="28"/>
      <c r="E787" s="29"/>
      <c r="F787" s="29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" x14ac:dyDescent="0.15">
      <c r="A788" s="28"/>
      <c r="B788" s="28"/>
      <c r="C788" s="28"/>
      <c r="D788" s="28"/>
      <c r="E788" s="29"/>
      <c r="F788" s="29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" x14ac:dyDescent="0.15">
      <c r="A789" s="28"/>
      <c r="B789" s="28"/>
      <c r="C789" s="28"/>
      <c r="D789" s="28"/>
      <c r="E789" s="29"/>
      <c r="F789" s="29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" x14ac:dyDescent="0.15">
      <c r="A790" s="28"/>
      <c r="B790" s="28"/>
      <c r="C790" s="28"/>
      <c r="D790" s="28"/>
      <c r="E790" s="29"/>
      <c r="F790" s="29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" x14ac:dyDescent="0.15">
      <c r="A791" s="28"/>
      <c r="B791" s="28"/>
      <c r="C791" s="28"/>
      <c r="D791" s="28"/>
      <c r="E791" s="29"/>
      <c r="F791" s="29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" x14ac:dyDescent="0.15">
      <c r="A792" s="28"/>
      <c r="B792" s="28"/>
      <c r="C792" s="28"/>
      <c r="D792" s="28"/>
      <c r="E792" s="29"/>
      <c r="F792" s="29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" x14ac:dyDescent="0.15">
      <c r="A793" s="28"/>
      <c r="B793" s="28"/>
      <c r="C793" s="28"/>
      <c r="D793" s="28"/>
      <c r="E793" s="29"/>
      <c r="F793" s="29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" x14ac:dyDescent="0.15">
      <c r="A794" s="28"/>
      <c r="B794" s="28"/>
      <c r="C794" s="28"/>
      <c r="D794" s="28"/>
      <c r="E794" s="29"/>
      <c r="F794" s="29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" x14ac:dyDescent="0.15">
      <c r="A795" s="28"/>
      <c r="B795" s="28"/>
      <c r="C795" s="28"/>
      <c r="D795" s="28"/>
      <c r="E795" s="29"/>
      <c r="F795" s="29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" x14ac:dyDescent="0.15">
      <c r="A796" s="28"/>
      <c r="B796" s="28"/>
      <c r="C796" s="28"/>
      <c r="D796" s="28"/>
      <c r="E796" s="29"/>
      <c r="F796" s="29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" x14ac:dyDescent="0.15">
      <c r="A797" s="28"/>
      <c r="B797" s="28"/>
      <c r="C797" s="28"/>
      <c r="D797" s="28"/>
      <c r="E797" s="29"/>
      <c r="F797" s="29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" x14ac:dyDescent="0.15">
      <c r="A798" s="28"/>
      <c r="B798" s="28"/>
      <c r="C798" s="28"/>
      <c r="D798" s="28"/>
      <c r="E798" s="29"/>
      <c r="F798" s="29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" x14ac:dyDescent="0.15">
      <c r="A799" s="28"/>
      <c r="B799" s="28"/>
      <c r="C799" s="28"/>
      <c r="D799" s="28"/>
      <c r="E799" s="29"/>
      <c r="F799" s="29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" x14ac:dyDescent="0.15">
      <c r="A800" s="28"/>
      <c r="B800" s="28"/>
      <c r="C800" s="28"/>
      <c r="D800" s="28"/>
      <c r="E800" s="29"/>
      <c r="F800" s="29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" x14ac:dyDescent="0.15">
      <c r="A801" s="28"/>
      <c r="B801" s="28"/>
      <c r="C801" s="28"/>
      <c r="D801" s="28"/>
      <c r="E801" s="29"/>
      <c r="F801" s="29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" x14ac:dyDescent="0.15">
      <c r="A802" s="28"/>
      <c r="B802" s="28"/>
      <c r="C802" s="28"/>
      <c r="D802" s="28"/>
      <c r="E802" s="29"/>
      <c r="F802" s="29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" x14ac:dyDescent="0.15">
      <c r="A803" s="28"/>
      <c r="B803" s="28"/>
      <c r="C803" s="28"/>
      <c r="D803" s="28"/>
      <c r="E803" s="29"/>
      <c r="F803" s="29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" x14ac:dyDescent="0.15">
      <c r="A804" s="28"/>
      <c r="B804" s="28"/>
      <c r="C804" s="28"/>
      <c r="D804" s="28"/>
      <c r="E804" s="29"/>
      <c r="F804" s="29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" x14ac:dyDescent="0.15">
      <c r="A805" s="28"/>
      <c r="B805" s="28"/>
      <c r="C805" s="28"/>
      <c r="D805" s="28"/>
      <c r="E805" s="29"/>
      <c r="F805" s="29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" x14ac:dyDescent="0.15">
      <c r="A806" s="28"/>
      <c r="B806" s="28"/>
      <c r="C806" s="28"/>
      <c r="D806" s="28"/>
      <c r="E806" s="29"/>
      <c r="F806" s="29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" x14ac:dyDescent="0.15">
      <c r="A807" s="28"/>
      <c r="B807" s="28"/>
      <c r="C807" s="28"/>
      <c r="D807" s="28"/>
      <c r="E807" s="29"/>
      <c r="F807" s="29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" x14ac:dyDescent="0.15">
      <c r="A808" s="28"/>
      <c r="B808" s="28"/>
      <c r="C808" s="28"/>
      <c r="D808" s="28"/>
      <c r="E808" s="29"/>
      <c r="F808" s="29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" x14ac:dyDescent="0.15">
      <c r="A809" s="28"/>
      <c r="B809" s="28"/>
      <c r="C809" s="28"/>
      <c r="D809" s="28"/>
      <c r="E809" s="29"/>
      <c r="F809" s="29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" x14ac:dyDescent="0.15">
      <c r="A810" s="28"/>
      <c r="B810" s="28"/>
      <c r="C810" s="28"/>
      <c r="D810" s="28"/>
      <c r="E810" s="29"/>
      <c r="F810" s="29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" x14ac:dyDescent="0.15">
      <c r="A811" s="28"/>
      <c r="B811" s="28"/>
      <c r="C811" s="28"/>
      <c r="D811" s="28"/>
      <c r="E811" s="29"/>
      <c r="F811" s="29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" x14ac:dyDescent="0.15">
      <c r="A812" s="28"/>
      <c r="B812" s="28"/>
      <c r="C812" s="28"/>
      <c r="D812" s="28"/>
      <c r="E812" s="29"/>
      <c r="F812" s="29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" x14ac:dyDescent="0.15">
      <c r="A813" s="28"/>
      <c r="B813" s="28"/>
      <c r="C813" s="28"/>
      <c r="D813" s="28"/>
      <c r="E813" s="29"/>
      <c r="F813" s="29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" x14ac:dyDescent="0.15">
      <c r="A814" s="28"/>
      <c r="B814" s="28"/>
      <c r="C814" s="28"/>
      <c r="D814" s="28"/>
      <c r="E814" s="29"/>
      <c r="F814" s="29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" x14ac:dyDescent="0.15">
      <c r="A815" s="28"/>
      <c r="B815" s="28"/>
      <c r="C815" s="28"/>
      <c r="D815" s="28"/>
      <c r="E815" s="29"/>
      <c r="F815" s="29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" x14ac:dyDescent="0.15">
      <c r="A816" s="28"/>
      <c r="B816" s="28"/>
      <c r="C816" s="28"/>
      <c r="D816" s="28"/>
      <c r="E816" s="29"/>
      <c r="F816" s="29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" x14ac:dyDescent="0.15">
      <c r="A817" s="28"/>
      <c r="B817" s="28"/>
      <c r="C817" s="28"/>
      <c r="D817" s="28"/>
      <c r="E817" s="29"/>
      <c r="F817" s="29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" x14ac:dyDescent="0.15">
      <c r="A818" s="28"/>
      <c r="B818" s="28"/>
      <c r="C818" s="28"/>
      <c r="D818" s="28"/>
      <c r="E818" s="29"/>
      <c r="F818" s="29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" x14ac:dyDescent="0.15">
      <c r="A819" s="28"/>
      <c r="B819" s="28"/>
      <c r="C819" s="28"/>
      <c r="D819" s="28"/>
      <c r="E819" s="29"/>
      <c r="F819" s="29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" x14ac:dyDescent="0.15">
      <c r="A820" s="28"/>
      <c r="B820" s="28"/>
      <c r="C820" s="28"/>
      <c r="D820" s="28"/>
      <c r="E820" s="29"/>
      <c r="F820" s="29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" x14ac:dyDescent="0.15">
      <c r="A821" s="28"/>
      <c r="B821" s="28"/>
      <c r="C821" s="28"/>
      <c r="D821" s="28"/>
      <c r="E821" s="29"/>
      <c r="F821" s="29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" x14ac:dyDescent="0.15">
      <c r="A822" s="28"/>
      <c r="B822" s="28"/>
      <c r="C822" s="28"/>
      <c r="D822" s="28"/>
      <c r="E822" s="29"/>
      <c r="F822" s="29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" x14ac:dyDescent="0.15">
      <c r="A823" s="28"/>
      <c r="B823" s="28"/>
      <c r="C823" s="28"/>
      <c r="D823" s="28"/>
      <c r="E823" s="29"/>
      <c r="F823" s="29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" x14ac:dyDescent="0.15">
      <c r="A824" s="28"/>
      <c r="B824" s="28"/>
      <c r="C824" s="28"/>
      <c r="D824" s="28"/>
      <c r="E824" s="29"/>
      <c r="F824" s="29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" x14ac:dyDescent="0.15">
      <c r="A825" s="28"/>
      <c r="B825" s="28"/>
      <c r="C825" s="28"/>
      <c r="D825" s="28"/>
      <c r="E825" s="29"/>
      <c r="F825" s="29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" x14ac:dyDescent="0.15">
      <c r="A826" s="28"/>
      <c r="B826" s="28"/>
      <c r="C826" s="28"/>
      <c r="D826" s="28"/>
      <c r="E826" s="29"/>
      <c r="F826" s="29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" x14ac:dyDescent="0.15">
      <c r="A827" s="28"/>
      <c r="B827" s="28"/>
      <c r="C827" s="28"/>
      <c r="D827" s="28"/>
      <c r="E827" s="29"/>
      <c r="F827" s="29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" x14ac:dyDescent="0.15">
      <c r="A828" s="28"/>
      <c r="B828" s="28"/>
      <c r="C828" s="28"/>
      <c r="D828" s="28"/>
      <c r="E828" s="29"/>
      <c r="F828" s="29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" x14ac:dyDescent="0.15">
      <c r="A829" s="28"/>
      <c r="B829" s="28"/>
      <c r="C829" s="28"/>
      <c r="D829" s="28"/>
      <c r="E829" s="29"/>
      <c r="F829" s="29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" x14ac:dyDescent="0.15">
      <c r="A830" s="28"/>
      <c r="B830" s="28"/>
      <c r="C830" s="28"/>
      <c r="D830" s="28"/>
      <c r="E830" s="29"/>
      <c r="F830" s="29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" x14ac:dyDescent="0.15">
      <c r="A831" s="28"/>
      <c r="B831" s="28"/>
      <c r="C831" s="28"/>
      <c r="D831" s="28"/>
      <c r="E831" s="29"/>
      <c r="F831" s="29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" x14ac:dyDescent="0.15">
      <c r="A832" s="28"/>
      <c r="B832" s="28"/>
      <c r="C832" s="28"/>
      <c r="D832" s="28"/>
      <c r="E832" s="29"/>
      <c r="F832" s="29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" x14ac:dyDescent="0.15">
      <c r="A833" s="28"/>
      <c r="B833" s="28"/>
      <c r="C833" s="28"/>
      <c r="D833" s="28"/>
      <c r="E833" s="29"/>
      <c r="F833" s="29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" x14ac:dyDescent="0.15">
      <c r="A834" s="28"/>
      <c r="B834" s="28"/>
      <c r="C834" s="28"/>
      <c r="D834" s="28"/>
      <c r="E834" s="29"/>
      <c r="F834" s="29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" x14ac:dyDescent="0.15">
      <c r="A835" s="28"/>
      <c r="B835" s="28"/>
      <c r="C835" s="28"/>
      <c r="D835" s="28"/>
      <c r="E835" s="29"/>
      <c r="F835" s="29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" x14ac:dyDescent="0.15">
      <c r="A836" s="28"/>
      <c r="B836" s="28"/>
      <c r="C836" s="28"/>
      <c r="D836" s="28"/>
      <c r="E836" s="29"/>
      <c r="F836" s="29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" x14ac:dyDescent="0.15">
      <c r="A837" s="28"/>
      <c r="B837" s="28"/>
      <c r="C837" s="28"/>
      <c r="D837" s="28"/>
      <c r="E837" s="29"/>
      <c r="F837" s="29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" x14ac:dyDescent="0.15">
      <c r="A838" s="28"/>
      <c r="B838" s="28"/>
      <c r="C838" s="28"/>
      <c r="D838" s="28"/>
      <c r="E838" s="29"/>
      <c r="F838" s="29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" x14ac:dyDescent="0.15">
      <c r="A839" s="28"/>
      <c r="B839" s="28"/>
      <c r="C839" s="28"/>
      <c r="D839" s="28"/>
      <c r="E839" s="29"/>
      <c r="F839" s="29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" x14ac:dyDescent="0.15">
      <c r="A840" s="28"/>
      <c r="B840" s="28"/>
      <c r="C840" s="28"/>
      <c r="D840" s="28"/>
      <c r="E840" s="29"/>
      <c r="F840" s="29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" x14ac:dyDescent="0.15">
      <c r="A841" s="28"/>
      <c r="B841" s="28"/>
      <c r="C841" s="28"/>
      <c r="D841" s="28"/>
      <c r="E841" s="29"/>
      <c r="F841" s="29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" x14ac:dyDescent="0.15">
      <c r="A842" s="28"/>
      <c r="B842" s="28"/>
      <c r="C842" s="28"/>
      <c r="D842" s="28"/>
      <c r="E842" s="29"/>
      <c r="F842" s="29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" x14ac:dyDescent="0.15">
      <c r="A843" s="28"/>
      <c r="B843" s="28"/>
      <c r="C843" s="28"/>
      <c r="D843" s="28"/>
      <c r="E843" s="29"/>
      <c r="F843" s="29"/>
      <c r="G843" s="29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" x14ac:dyDescent="0.15">
      <c r="A844" s="28"/>
      <c r="B844" s="28"/>
      <c r="C844" s="28"/>
      <c r="D844" s="28"/>
      <c r="E844" s="29"/>
      <c r="F844" s="29"/>
      <c r="G844" s="29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" x14ac:dyDescent="0.15">
      <c r="A845" s="28"/>
      <c r="B845" s="28"/>
      <c r="C845" s="28"/>
      <c r="D845" s="28"/>
      <c r="E845" s="29"/>
      <c r="F845" s="29"/>
      <c r="G845" s="29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" x14ac:dyDescent="0.15">
      <c r="A846" s="28"/>
      <c r="B846" s="28"/>
      <c r="C846" s="28"/>
      <c r="D846" s="28"/>
      <c r="E846" s="29"/>
      <c r="F846" s="29"/>
      <c r="G846" s="29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" x14ac:dyDescent="0.15">
      <c r="A847" s="28"/>
      <c r="B847" s="28"/>
      <c r="C847" s="28"/>
      <c r="D847" s="28"/>
      <c r="E847" s="29"/>
      <c r="F847" s="29"/>
      <c r="G847" s="29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" x14ac:dyDescent="0.15">
      <c r="A848" s="28"/>
      <c r="B848" s="28"/>
      <c r="C848" s="28"/>
      <c r="D848" s="28"/>
      <c r="E848" s="29"/>
      <c r="F848" s="29"/>
      <c r="G848" s="29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" x14ac:dyDescent="0.15">
      <c r="A849" s="28"/>
      <c r="B849" s="28"/>
      <c r="C849" s="28"/>
      <c r="D849" s="28"/>
      <c r="E849" s="29"/>
      <c r="F849" s="29"/>
      <c r="G849" s="29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" x14ac:dyDescent="0.15">
      <c r="A850" s="28"/>
      <c r="B850" s="28"/>
      <c r="C850" s="28"/>
      <c r="D850" s="28"/>
      <c r="E850" s="29"/>
      <c r="F850" s="29"/>
      <c r="G850" s="29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" x14ac:dyDescent="0.15">
      <c r="A851" s="28"/>
      <c r="B851" s="28"/>
      <c r="C851" s="28"/>
      <c r="D851" s="28"/>
      <c r="E851" s="29"/>
      <c r="F851" s="29"/>
      <c r="G851" s="29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" x14ac:dyDescent="0.15">
      <c r="A852" s="28"/>
      <c r="B852" s="28"/>
      <c r="C852" s="28"/>
      <c r="D852" s="28"/>
      <c r="E852" s="29"/>
      <c r="F852" s="29"/>
      <c r="G852" s="29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" x14ac:dyDescent="0.15">
      <c r="A853" s="28"/>
      <c r="B853" s="28"/>
      <c r="C853" s="28"/>
      <c r="D853" s="28"/>
      <c r="E853" s="29"/>
      <c r="F853" s="29"/>
      <c r="G853" s="29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" x14ac:dyDescent="0.15">
      <c r="A854" s="28"/>
      <c r="B854" s="28"/>
      <c r="C854" s="28"/>
      <c r="D854" s="28"/>
      <c r="E854" s="29"/>
      <c r="F854" s="29"/>
      <c r="G854" s="29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" x14ac:dyDescent="0.15">
      <c r="A855" s="28"/>
      <c r="B855" s="28"/>
      <c r="C855" s="28"/>
      <c r="D855" s="28"/>
      <c r="E855" s="29"/>
      <c r="F855" s="29"/>
      <c r="G855" s="29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" x14ac:dyDescent="0.15">
      <c r="A856" s="28"/>
      <c r="B856" s="28"/>
      <c r="C856" s="28"/>
      <c r="D856" s="28"/>
      <c r="E856" s="29"/>
      <c r="F856" s="29"/>
      <c r="G856" s="29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" x14ac:dyDescent="0.15">
      <c r="A857" s="28"/>
      <c r="B857" s="28"/>
      <c r="C857" s="28"/>
      <c r="D857" s="28"/>
      <c r="E857" s="29"/>
      <c r="F857" s="29"/>
      <c r="G857" s="29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" x14ac:dyDescent="0.15">
      <c r="A858" s="28"/>
      <c r="B858" s="28"/>
      <c r="C858" s="28"/>
      <c r="D858" s="28"/>
      <c r="E858" s="29"/>
      <c r="F858" s="29"/>
      <c r="G858" s="29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" x14ac:dyDescent="0.15">
      <c r="A859" s="28"/>
      <c r="B859" s="28"/>
      <c r="C859" s="28"/>
      <c r="D859" s="28"/>
      <c r="E859" s="29"/>
      <c r="F859" s="29"/>
      <c r="G859" s="29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" x14ac:dyDescent="0.15">
      <c r="A860" s="28"/>
      <c r="B860" s="28"/>
      <c r="C860" s="28"/>
      <c r="D860" s="28"/>
      <c r="E860" s="29"/>
      <c r="F860" s="29"/>
      <c r="G860" s="29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" x14ac:dyDescent="0.15">
      <c r="A861" s="28"/>
      <c r="B861" s="28"/>
      <c r="C861" s="28"/>
      <c r="D861" s="28"/>
      <c r="E861" s="29"/>
      <c r="F861" s="29"/>
      <c r="G861" s="29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" x14ac:dyDescent="0.15">
      <c r="A862" s="28"/>
      <c r="B862" s="28"/>
      <c r="C862" s="28"/>
      <c r="D862" s="28"/>
      <c r="E862" s="29"/>
      <c r="F862" s="29"/>
      <c r="G862" s="29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" x14ac:dyDescent="0.15">
      <c r="A863" s="28"/>
      <c r="B863" s="28"/>
      <c r="C863" s="28"/>
      <c r="D863" s="28"/>
      <c r="E863" s="29"/>
      <c r="F863" s="29"/>
      <c r="G863" s="29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" x14ac:dyDescent="0.15">
      <c r="A864" s="28"/>
      <c r="B864" s="28"/>
      <c r="C864" s="28"/>
      <c r="D864" s="28"/>
      <c r="E864" s="29"/>
      <c r="F864" s="29"/>
      <c r="G864" s="29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" x14ac:dyDescent="0.15">
      <c r="A865" s="28"/>
      <c r="B865" s="28"/>
      <c r="C865" s="28"/>
      <c r="D865" s="28"/>
      <c r="E865" s="29"/>
      <c r="F865" s="29"/>
      <c r="G865" s="29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" x14ac:dyDescent="0.15">
      <c r="A866" s="28"/>
      <c r="B866" s="28"/>
      <c r="C866" s="28"/>
      <c r="D866" s="28"/>
      <c r="E866" s="29"/>
      <c r="F866" s="29"/>
      <c r="G866" s="29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" x14ac:dyDescent="0.15">
      <c r="A867" s="28"/>
      <c r="B867" s="28"/>
      <c r="C867" s="28"/>
      <c r="D867" s="28"/>
      <c r="E867" s="29"/>
      <c r="F867" s="29"/>
      <c r="G867" s="29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" x14ac:dyDescent="0.15">
      <c r="A868" s="28"/>
      <c r="B868" s="28"/>
      <c r="C868" s="28"/>
      <c r="D868" s="28"/>
      <c r="E868" s="29"/>
      <c r="F868" s="29"/>
      <c r="G868" s="29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" x14ac:dyDescent="0.15">
      <c r="A869" s="28"/>
      <c r="B869" s="28"/>
      <c r="C869" s="28"/>
      <c r="D869" s="28"/>
      <c r="E869" s="29"/>
      <c r="F869" s="29"/>
      <c r="G869" s="29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" x14ac:dyDescent="0.15">
      <c r="A870" s="28"/>
      <c r="B870" s="28"/>
      <c r="C870" s="28"/>
      <c r="D870" s="28"/>
      <c r="E870" s="29"/>
      <c r="F870" s="29"/>
      <c r="G870" s="29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" x14ac:dyDescent="0.15">
      <c r="A871" s="28"/>
      <c r="B871" s="28"/>
      <c r="C871" s="28"/>
      <c r="D871" s="28"/>
      <c r="E871" s="29"/>
      <c r="F871" s="29"/>
      <c r="G871" s="29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" x14ac:dyDescent="0.15">
      <c r="A872" s="28"/>
      <c r="B872" s="28"/>
      <c r="C872" s="28"/>
      <c r="D872" s="28"/>
      <c r="E872" s="29"/>
      <c r="F872" s="29"/>
      <c r="G872" s="29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" x14ac:dyDescent="0.15">
      <c r="A873" s="28"/>
      <c r="B873" s="28"/>
      <c r="C873" s="28"/>
      <c r="D873" s="28"/>
      <c r="E873" s="29"/>
      <c r="F873" s="29"/>
      <c r="G873" s="29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" x14ac:dyDescent="0.15">
      <c r="A874" s="28"/>
      <c r="B874" s="28"/>
      <c r="C874" s="28"/>
      <c r="D874" s="28"/>
      <c r="E874" s="29"/>
      <c r="F874" s="29"/>
      <c r="G874" s="29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" x14ac:dyDescent="0.15">
      <c r="A875" s="28"/>
      <c r="B875" s="28"/>
      <c r="C875" s="28"/>
      <c r="D875" s="28"/>
      <c r="E875" s="29"/>
      <c r="F875" s="29"/>
      <c r="G875" s="29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" x14ac:dyDescent="0.15">
      <c r="A876" s="28"/>
      <c r="B876" s="28"/>
      <c r="C876" s="28"/>
      <c r="D876" s="28"/>
      <c r="E876" s="29"/>
      <c r="F876" s="29"/>
      <c r="G876" s="29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" x14ac:dyDescent="0.15">
      <c r="A877" s="28"/>
      <c r="B877" s="28"/>
      <c r="C877" s="28"/>
      <c r="D877" s="28"/>
      <c r="E877" s="29"/>
      <c r="F877" s="29"/>
      <c r="G877" s="29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" x14ac:dyDescent="0.15">
      <c r="A878" s="28"/>
      <c r="B878" s="28"/>
      <c r="C878" s="28"/>
      <c r="D878" s="28"/>
      <c r="E878" s="29"/>
      <c r="F878" s="29"/>
      <c r="G878" s="29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" x14ac:dyDescent="0.15">
      <c r="A879" s="28"/>
      <c r="B879" s="28"/>
      <c r="C879" s="28"/>
      <c r="D879" s="28"/>
      <c r="E879" s="29"/>
      <c r="F879" s="29"/>
      <c r="G879" s="29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" x14ac:dyDescent="0.15">
      <c r="A880" s="28"/>
      <c r="B880" s="28"/>
      <c r="C880" s="28"/>
      <c r="D880" s="28"/>
      <c r="E880" s="29"/>
      <c r="F880" s="29"/>
      <c r="G880" s="29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" x14ac:dyDescent="0.15">
      <c r="A881" s="28"/>
      <c r="B881" s="28"/>
      <c r="C881" s="28"/>
      <c r="D881" s="28"/>
      <c r="E881" s="29"/>
      <c r="F881" s="29"/>
      <c r="G881" s="29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" x14ac:dyDescent="0.15">
      <c r="A882" s="28"/>
      <c r="B882" s="28"/>
      <c r="C882" s="28"/>
      <c r="D882" s="28"/>
      <c r="E882" s="29"/>
      <c r="F882" s="29"/>
      <c r="G882" s="29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" x14ac:dyDescent="0.15">
      <c r="A883" s="28"/>
      <c r="B883" s="28"/>
      <c r="C883" s="28"/>
      <c r="D883" s="28"/>
      <c r="E883" s="29"/>
      <c r="F883" s="29"/>
      <c r="G883" s="29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" x14ac:dyDescent="0.15">
      <c r="A884" s="28"/>
      <c r="B884" s="28"/>
      <c r="C884" s="28"/>
      <c r="D884" s="28"/>
      <c r="E884" s="29"/>
      <c r="F884" s="29"/>
      <c r="G884" s="29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" x14ac:dyDescent="0.15">
      <c r="A885" s="28"/>
      <c r="B885" s="28"/>
      <c r="C885" s="28"/>
      <c r="D885" s="28"/>
      <c r="E885" s="29"/>
      <c r="F885" s="29"/>
      <c r="G885" s="29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" x14ac:dyDescent="0.15">
      <c r="A886" s="28"/>
      <c r="B886" s="28"/>
      <c r="C886" s="28"/>
      <c r="D886" s="28"/>
      <c r="E886" s="29"/>
      <c r="F886" s="29"/>
      <c r="G886" s="29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" x14ac:dyDescent="0.15">
      <c r="A887" s="28"/>
      <c r="B887" s="28"/>
      <c r="C887" s="28"/>
      <c r="D887" s="28"/>
      <c r="E887" s="29"/>
      <c r="F887" s="29"/>
      <c r="G887" s="29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" x14ac:dyDescent="0.15">
      <c r="A888" s="28"/>
      <c r="B888" s="28"/>
      <c r="C888" s="28"/>
      <c r="D888" s="28"/>
      <c r="E888" s="29"/>
      <c r="F888" s="29"/>
      <c r="G888" s="29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" x14ac:dyDescent="0.15">
      <c r="A889" s="28"/>
      <c r="B889" s="28"/>
      <c r="C889" s="28"/>
      <c r="D889" s="28"/>
      <c r="E889" s="29"/>
      <c r="F889" s="29"/>
      <c r="G889" s="29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" x14ac:dyDescent="0.15">
      <c r="A890" s="28"/>
      <c r="B890" s="28"/>
      <c r="C890" s="28"/>
      <c r="D890" s="28"/>
      <c r="E890" s="29"/>
      <c r="F890" s="29"/>
      <c r="G890" s="29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" x14ac:dyDescent="0.15">
      <c r="A891" s="28"/>
      <c r="B891" s="28"/>
      <c r="C891" s="28"/>
      <c r="D891" s="28"/>
      <c r="E891" s="29"/>
      <c r="F891" s="29"/>
      <c r="G891" s="29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" x14ac:dyDescent="0.15">
      <c r="A892" s="28"/>
      <c r="B892" s="28"/>
      <c r="C892" s="28"/>
      <c r="D892" s="28"/>
      <c r="E892" s="29"/>
      <c r="F892" s="29"/>
      <c r="G892" s="29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" x14ac:dyDescent="0.15">
      <c r="A893" s="28"/>
      <c r="B893" s="28"/>
      <c r="C893" s="28"/>
      <c r="D893" s="28"/>
      <c r="E893" s="29"/>
      <c r="F893" s="29"/>
      <c r="G893" s="29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" x14ac:dyDescent="0.15">
      <c r="A894" s="28"/>
      <c r="B894" s="28"/>
      <c r="C894" s="28"/>
      <c r="D894" s="28"/>
      <c r="E894" s="29"/>
      <c r="F894" s="29"/>
      <c r="G894" s="29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" x14ac:dyDescent="0.15">
      <c r="A895" s="28"/>
      <c r="B895" s="28"/>
      <c r="C895" s="28"/>
      <c r="D895" s="28"/>
      <c r="E895" s="29"/>
      <c r="F895" s="29"/>
      <c r="G895" s="29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" x14ac:dyDescent="0.15">
      <c r="A896" s="28"/>
      <c r="B896" s="28"/>
      <c r="C896" s="28"/>
      <c r="D896" s="28"/>
      <c r="E896" s="29"/>
      <c r="F896" s="29"/>
      <c r="G896" s="29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" x14ac:dyDescent="0.15">
      <c r="A897" s="28"/>
      <c r="B897" s="28"/>
      <c r="C897" s="28"/>
      <c r="D897" s="28"/>
      <c r="E897" s="29"/>
      <c r="F897" s="29"/>
      <c r="G897" s="29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" x14ac:dyDescent="0.15">
      <c r="A898" s="28"/>
      <c r="B898" s="28"/>
      <c r="C898" s="28"/>
      <c r="D898" s="28"/>
      <c r="E898" s="29"/>
      <c r="F898" s="29"/>
      <c r="G898" s="29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" x14ac:dyDescent="0.15">
      <c r="A899" s="28"/>
      <c r="B899" s="28"/>
      <c r="C899" s="28"/>
      <c r="D899" s="28"/>
      <c r="E899" s="29"/>
      <c r="F899" s="29"/>
      <c r="G899" s="29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" x14ac:dyDescent="0.15">
      <c r="A900" s="28"/>
      <c r="B900" s="28"/>
      <c r="C900" s="28"/>
      <c r="D900" s="28"/>
      <c r="E900" s="29"/>
      <c r="F900" s="29"/>
      <c r="G900" s="29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" x14ac:dyDescent="0.15">
      <c r="A901" s="28"/>
      <c r="B901" s="28"/>
      <c r="C901" s="28"/>
      <c r="D901" s="28"/>
      <c r="E901" s="29"/>
      <c r="F901" s="29"/>
      <c r="G901" s="29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" x14ac:dyDescent="0.15">
      <c r="A902" s="28"/>
      <c r="B902" s="28"/>
      <c r="C902" s="28"/>
      <c r="D902" s="28"/>
      <c r="E902" s="29"/>
      <c r="F902" s="29"/>
      <c r="G902" s="29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" x14ac:dyDescent="0.15">
      <c r="A903" s="28"/>
      <c r="B903" s="28"/>
      <c r="C903" s="28"/>
      <c r="D903" s="28"/>
      <c r="E903" s="29"/>
      <c r="F903" s="29"/>
      <c r="G903" s="29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" x14ac:dyDescent="0.15">
      <c r="A904" s="28"/>
      <c r="B904" s="28"/>
      <c r="C904" s="28"/>
      <c r="D904" s="28"/>
      <c r="E904" s="29"/>
      <c r="F904" s="29"/>
      <c r="G904" s="29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" x14ac:dyDescent="0.15">
      <c r="A905" s="28"/>
      <c r="B905" s="28"/>
      <c r="C905" s="28"/>
      <c r="D905" s="28"/>
      <c r="E905" s="29"/>
      <c r="F905" s="29"/>
      <c r="G905" s="29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" x14ac:dyDescent="0.15">
      <c r="A906" s="28"/>
      <c r="B906" s="28"/>
      <c r="C906" s="28"/>
      <c r="D906" s="28"/>
      <c r="E906" s="29"/>
      <c r="F906" s="29"/>
      <c r="G906" s="29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" x14ac:dyDescent="0.15">
      <c r="A907" s="28"/>
      <c r="B907" s="28"/>
      <c r="C907" s="28"/>
      <c r="D907" s="28"/>
      <c r="E907" s="29"/>
      <c r="F907" s="29"/>
      <c r="G907" s="29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" x14ac:dyDescent="0.15">
      <c r="A908" s="28"/>
      <c r="B908" s="28"/>
      <c r="C908" s="28"/>
      <c r="D908" s="28"/>
      <c r="E908" s="29"/>
      <c r="F908" s="29"/>
      <c r="G908" s="29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" x14ac:dyDescent="0.15">
      <c r="A909" s="28"/>
      <c r="B909" s="28"/>
      <c r="C909" s="28"/>
      <c r="D909" s="28"/>
      <c r="E909" s="29"/>
      <c r="F909" s="29"/>
      <c r="G909" s="29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" x14ac:dyDescent="0.15">
      <c r="A910" s="28"/>
      <c r="B910" s="28"/>
      <c r="C910" s="28"/>
      <c r="D910" s="28"/>
      <c r="E910" s="29"/>
      <c r="F910" s="29"/>
      <c r="G910" s="29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" x14ac:dyDescent="0.15">
      <c r="A911" s="28"/>
      <c r="B911" s="28"/>
      <c r="C911" s="28"/>
      <c r="D911" s="28"/>
      <c r="E911" s="29"/>
      <c r="F911" s="29"/>
      <c r="G911" s="29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" x14ac:dyDescent="0.15">
      <c r="A912" s="28"/>
      <c r="B912" s="28"/>
      <c r="C912" s="28"/>
      <c r="D912" s="28"/>
      <c r="E912" s="29"/>
      <c r="F912" s="29"/>
      <c r="G912" s="29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" x14ac:dyDescent="0.15">
      <c r="A913" s="28"/>
      <c r="B913" s="28"/>
      <c r="C913" s="28"/>
      <c r="D913" s="28"/>
      <c r="E913" s="29"/>
      <c r="F913" s="29"/>
      <c r="G913" s="29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" x14ac:dyDescent="0.15">
      <c r="A914" s="28"/>
      <c r="B914" s="28"/>
      <c r="C914" s="28"/>
      <c r="D914" s="28"/>
      <c r="E914" s="29"/>
      <c r="F914" s="29"/>
      <c r="G914" s="29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" x14ac:dyDescent="0.15">
      <c r="A915" s="28"/>
      <c r="B915" s="28"/>
      <c r="C915" s="28"/>
      <c r="D915" s="28"/>
      <c r="E915" s="29"/>
      <c r="F915" s="29"/>
      <c r="G915" s="29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" x14ac:dyDescent="0.15">
      <c r="A916" s="28"/>
      <c r="B916" s="28"/>
      <c r="C916" s="28"/>
      <c r="D916" s="28"/>
      <c r="E916" s="29"/>
      <c r="F916" s="29"/>
      <c r="G916" s="29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" x14ac:dyDescent="0.15">
      <c r="A917" s="28"/>
      <c r="B917" s="28"/>
      <c r="C917" s="28"/>
      <c r="D917" s="28"/>
      <c r="E917" s="29"/>
      <c r="F917" s="29"/>
      <c r="G917" s="29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" x14ac:dyDescent="0.15">
      <c r="A918" s="28"/>
      <c r="B918" s="28"/>
      <c r="C918" s="28"/>
      <c r="D918" s="28"/>
      <c r="E918" s="29"/>
      <c r="F918" s="29"/>
      <c r="G918" s="29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" x14ac:dyDescent="0.15">
      <c r="A919" s="28"/>
      <c r="B919" s="28"/>
      <c r="C919" s="28"/>
      <c r="D919" s="28"/>
      <c r="E919" s="29"/>
      <c r="F919" s="29"/>
      <c r="G919" s="29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" x14ac:dyDescent="0.15">
      <c r="A920" s="28"/>
      <c r="B920" s="28"/>
      <c r="C920" s="28"/>
      <c r="D920" s="28"/>
      <c r="E920" s="29"/>
      <c r="F920" s="29"/>
      <c r="G920" s="29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" x14ac:dyDescent="0.15">
      <c r="A921" s="28"/>
      <c r="B921" s="28"/>
      <c r="C921" s="28"/>
      <c r="D921" s="28"/>
      <c r="E921" s="29"/>
      <c r="F921" s="29"/>
      <c r="G921" s="29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" x14ac:dyDescent="0.15">
      <c r="A922" s="28"/>
      <c r="B922" s="28"/>
      <c r="C922" s="28"/>
      <c r="D922" s="28"/>
      <c r="E922" s="29"/>
      <c r="F922" s="29"/>
      <c r="G922" s="29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" x14ac:dyDescent="0.15">
      <c r="A923" s="28"/>
      <c r="B923" s="28"/>
      <c r="C923" s="28"/>
      <c r="D923" s="28"/>
      <c r="E923" s="29"/>
      <c r="F923" s="29"/>
      <c r="G923" s="29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" x14ac:dyDescent="0.15">
      <c r="A924" s="28"/>
      <c r="B924" s="28"/>
      <c r="C924" s="28"/>
      <c r="D924" s="28"/>
      <c r="E924" s="29"/>
      <c r="F924" s="29"/>
      <c r="G924" s="29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" x14ac:dyDescent="0.15">
      <c r="A925" s="28"/>
      <c r="B925" s="28"/>
      <c r="C925" s="28"/>
      <c r="D925" s="28"/>
      <c r="E925" s="29"/>
      <c r="F925" s="29"/>
      <c r="G925" s="29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" x14ac:dyDescent="0.15">
      <c r="A926" s="28"/>
      <c r="B926" s="28"/>
      <c r="C926" s="28"/>
      <c r="D926" s="28"/>
      <c r="E926" s="29"/>
      <c r="F926" s="29"/>
      <c r="G926" s="29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" x14ac:dyDescent="0.15">
      <c r="A927" s="28"/>
      <c r="B927" s="28"/>
      <c r="C927" s="28"/>
      <c r="D927" s="28"/>
      <c r="E927" s="29"/>
      <c r="F927" s="29"/>
      <c r="G927" s="29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" x14ac:dyDescent="0.15">
      <c r="A928" s="28"/>
      <c r="B928" s="28"/>
      <c r="C928" s="28"/>
      <c r="D928" s="28"/>
      <c r="E928" s="29"/>
      <c r="F928" s="29"/>
      <c r="G928" s="29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" x14ac:dyDescent="0.15">
      <c r="A929" s="28"/>
      <c r="B929" s="28"/>
      <c r="C929" s="28"/>
      <c r="D929" s="28"/>
      <c r="E929" s="29"/>
      <c r="F929" s="29"/>
      <c r="G929" s="29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" x14ac:dyDescent="0.15">
      <c r="A930" s="28"/>
      <c r="B930" s="28"/>
      <c r="C930" s="28"/>
      <c r="D930" s="28"/>
      <c r="E930" s="29"/>
      <c r="F930" s="29"/>
      <c r="G930" s="29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" x14ac:dyDescent="0.15">
      <c r="A931" s="28"/>
      <c r="B931" s="28"/>
      <c r="C931" s="28"/>
      <c r="D931" s="28"/>
      <c r="E931" s="29"/>
      <c r="F931" s="29"/>
      <c r="G931" s="29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" x14ac:dyDescent="0.15">
      <c r="A932" s="28"/>
      <c r="B932" s="28"/>
      <c r="C932" s="28"/>
      <c r="D932" s="28"/>
      <c r="E932" s="29"/>
      <c r="F932" s="29"/>
      <c r="G932" s="29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" x14ac:dyDescent="0.15">
      <c r="A933" s="28"/>
      <c r="B933" s="28"/>
      <c r="C933" s="28"/>
      <c r="D933" s="28"/>
      <c r="E933" s="29"/>
      <c r="F933" s="29"/>
      <c r="G933" s="29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" x14ac:dyDescent="0.15">
      <c r="A934" s="28"/>
      <c r="B934" s="28"/>
      <c r="C934" s="28"/>
      <c r="D934" s="28"/>
      <c r="E934" s="29"/>
      <c r="F934" s="29"/>
      <c r="G934" s="29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" x14ac:dyDescent="0.15">
      <c r="A935" s="28"/>
      <c r="B935" s="28"/>
      <c r="C935" s="28"/>
      <c r="D935" s="28"/>
      <c r="E935" s="29"/>
      <c r="F935" s="29"/>
      <c r="G935" s="29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" x14ac:dyDescent="0.15">
      <c r="A936" s="28"/>
      <c r="B936" s="28"/>
      <c r="C936" s="28"/>
      <c r="D936" s="28"/>
      <c r="E936" s="29"/>
      <c r="F936" s="29"/>
      <c r="G936" s="29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" x14ac:dyDescent="0.15">
      <c r="A937" s="28"/>
      <c r="B937" s="28"/>
      <c r="C937" s="28"/>
      <c r="D937" s="28"/>
      <c r="E937" s="29"/>
      <c r="F937" s="29"/>
      <c r="G937" s="29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" x14ac:dyDescent="0.15">
      <c r="A938" s="28"/>
      <c r="B938" s="28"/>
      <c r="C938" s="28"/>
      <c r="D938" s="28"/>
      <c r="E938" s="29"/>
      <c r="F938" s="29"/>
      <c r="G938" s="29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" x14ac:dyDescent="0.15">
      <c r="A939" s="28"/>
      <c r="B939" s="28"/>
      <c r="C939" s="28"/>
      <c r="D939" s="28"/>
      <c r="E939" s="29"/>
      <c r="F939" s="29"/>
      <c r="G939" s="29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" x14ac:dyDescent="0.15">
      <c r="A940" s="28"/>
      <c r="B940" s="28"/>
      <c r="C940" s="28"/>
      <c r="D940" s="28"/>
      <c r="E940" s="29"/>
      <c r="F940" s="29"/>
      <c r="G940" s="29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" x14ac:dyDescent="0.15">
      <c r="A941" s="28"/>
      <c r="B941" s="28"/>
      <c r="C941" s="28"/>
      <c r="D941" s="28"/>
      <c r="E941" s="29"/>
      <c r="F941" s="29"/>
      <c r="G941" s="29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" x14ac:dyDescent="0.15">
      <c r="A942" s="28"/>
      <c r="B942" s="28"/>
      <c r="C942" s="28"/>
      <c r="D942" s="28"/>
      <c r="E942" s="29"/>
      <c r="F942" s="29"/>
      <c r="G942" s="29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" x14ac:dyDescent="0.15">
      <c r="A943" s="28"/>
      <c r="B943" s="28"/>
      <c r="C943" s="28"/>
      <c r="D943" s="28"/>
      <c r="E943" s="29"/>
      <c r="F943" s="29"/>
      <c r="G943" s="29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" x14ac:dyDescent="0.15">
      <c r="A944" s="28"/>
      <c r="B944" s="28"/>
      <c r="C944" s="28"/>
      <c r="D944" s="28"/>
      <c r="E944" s="29"/>
      <c r="F944" s="29"/>
      <c r="G944" s="29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" x14ac:dyDescent="0.15">
      <c r="A945" s="28"/>
      <c r="B945" s="28"/>
      <c r="C945" s="28"/>
      <c r="D945" s="28"/>
      <c r="E945" s="29"/>
      <c r="F945" s="29"/>
      <c r="G945" s="29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" x14ac:dyDescent="0.15">
      <c r="A946" s="28"/>
      <c r="B946" s="28"/>
      <c r="C946" s="28"/>
      <c r="D946" s="28"/>
      <c r="E946" s="29"/>
      <c r="F946" s="29"/>
      <c r="G946" s="29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" x14ac:dyDescent="0.15">
      <c r="A947" s="28"/>
      <c r="B947" s="28"/>
      <c r="C947" s="28"/>
      <c r="D947" s="28"/>
      <c r="E947" s="29"/>
      <c r="F947" s="29"/>
      <c r="G947" s="29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" x14ac:dyDescent="0.15">
      <c r="A948" s="28"/>
      <c r="B948" s="28"/>
      <c r="C948" s="28"/>
      <c r="D948" s="28"/>
      <c r="E948" s="29"/>
      <c r="F948" s="29"/>
      <c r="G948" s="29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" x14ac:dyDescent="0.15">
      <c r="A949" s="28"/>
      <c r="B949" s="28"/>
      <c r="C949" s="28"/>
      <c r="D949" s="28"/>
      <c r="E949" s="29"/>
      <c r="F949" s="29"/>
      <c r="G949" s="29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" x14ac:dyDescent="0.15">
      <c r="A950" s="28"/>
      <c r="B950" s="28"/>
      <c r="C950" s="28"/>
      <c r="D950" s="28"/>
      <c r="E950" s="29"/>
      <c r="F950" s="29"/>
      <c r="G950" s="29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" x14ac:dyDescent="0.15">
      <c r="A951" s="28"/>
      <c r="B951" s="28"/>
      <c r="C951" s="28"/>
      <c r="D951" s="28"/>
      <c r="E951" s="29"/>
      <c r="F951" s="29"/>
      <c r="G951" s="29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" x14ac:dyDescent="0.15">
      <c r="A952" s="28"/>
      <c r="B952" s="28"/>
      <c r="C952" s="28"/>
      <c r="D952" s="28"/>
      <c r="E952" s="29"/>
      <c r="F952" s="29"/>
      <c r="G952" s="29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" x14ac:dyDescent="0.15">
      <c r="A953" s="28"/>
      <c r="B953" s="28"/>
      <c r="C953" s="28"/>
      <c r="D953" s="28"/>
      <c r="E953" s="29"/>
      <c r="F953" s="29"/>
      <c r="G953" s="29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" x14ac:dyDescent="0.15">
      <c r="A954" s="28"/>
      <c r="B954" s="28"/>
      <c r="C954" s="28"/>
      <c r="D954" s="28"/>
      <c r="E954" s="29"/>
      <c r="F954" s="29"/>
      <c r="G954" s="29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" x14ac:dyDescent="0.15">
      <c r="A955" s="28"/>
      <c r="B955" s="28"/>
      <c r="C955" s="28"/>
      <c r="D955" s="28"/>
      <c r="E955" s="29"/>
      <c r="F955" s="29"/>
      <c r="G955" s="29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" x14ac:dyDescent="0.15">
      <c r="A956" s="28"/>
      <c r="B956" s="28"/>
      <c r="C956" s="28"/>
      <c r="D956" s="28"/>
      <c r="E956" s="29"/>
      <c r="F956" s="29"/>
      <c r="G956" s="29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" x14ac:dyDescent="0.15">
      <c r="A957" s="28"/>
      <c r="B957" s="28"/>
      <c r="C957" s="28"/>
      <c r="D957" s="28"/>
      <c r="E957" s="29"/>
      <c r="F957" s="29"/>
      <c r="G957" s="29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" x14ac:dyDescent="0.15">
      <c r="A958" s="28"/>
      <c r="B958" s="28"/>
      <c r="C958" s="28"/>
      <c r="D958" s="28"/>
      <c r="E958" s="29"/>
      <c r="F958" s="29"/>
      <c r="G958" s="29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" x14ac:dyDescent="0.15">
      <c r="A959" s="28"/>
      <c r="B959" s="28"/>
      <c r="C959" s="28"/>
      <c r="D959" s="28"/>
      <c r="E959" s="29"/>
      <c r="F959" s="29"/>
      <c r="G959" s="29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" x14ac:dyDescent="0.15">
      <c r="A960" s="28"/>
      <c r="B960" s="28"/>
      <c r="C960" s="28"/>
      <c r="D960" s="28"/>
      <c r="E960" s="29"/>
      <c r="F960" s="29"/>
      <c r="G960" s="29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" x14ac:dyDescent="0.15">
      <c r="A961" s="28"/>
      <c r="B961" s="28"/>
      <c r="C961" s="28"/>
      <c r="D961" s="28"/>
      <c r="E961" s="29"/>
      <c r="F961" s="29"/>
      <c r="G961" s="29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" x14ac:dyDescent="0.15">
      <c r="A962" s="28"/>
      <c r="B962" s="28"/>
      <c r="C962" s="28"/>
      <c r="D962" s="28"/>
      <c r="E962" s="29"/>
      <c r="F962" s="29"/>
      <c r="G962" s="29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" x14ac:dyDescent="0.15">
      <c r="A963" s="28"/>
      <c r="B963" s="28"/>
      <c r="C963" s="28"/>
      <c r="D963" s="28"/>
      <c r="E963" s="29"/>
      <c r="F963" s="29"/>
      <c r="G963" s="29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" x14ac:dyDescent="0.15">
      <c r="A964" s="28"/>
      <c r="B964" s="28"/>
      <c r="C964" s="28"/>
      <c r="D964" s="28"/>
      <c r="E964" s="29"/>
      <c r="F964" s="29"/>
      <c r="G964" s="29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" x14ac:dyDescent="0.15">
      <c r="A965" s="28"/>
      <c r="B965" s="28"/>
      <c r="C965" s="28"/>
      <c r="D965" s="28"/>
      <c r="E965" s="29"/>
      <c r="F965" s="29"/>
      <c r="G965" s="29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" x14ac:dyDescent="0.15">
      <c r="A966" s="28"/>
      <c r="B966" s="28"/>
      <c r="C966" s="28"/>
      <c r="D966" s="28"/>
      <c r="E966" s="29"/>
      <c r="F966" s="29"/>
      <c r="G966" s="29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" x14ac:dyDescent="0.15">
      <c r="A967" s="28"/>
      <c r="B967" s="28"/>
      <c r="C967" s="28"/>
      <c r="D967" s="28"/>
      <c r="E967" s="29"/>
      <c r="F967" s="29"/>
      <c r="G967" s="29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" x14ac:dyDescent="0.15">
      <c r="A968" s="28"/>
      <c r="B968" s="28"/>
      <c r="C968" s="28"/>
      <c r="D968" s="28"/>
      <c r="E968" s="29"/>
      <c r="F968" s="29"/>
      <c r="G968" s="29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" x14ac:dyDescent="0.15">
      <c r="A969" s="28"/>
      <c r="B969" s="28"/>
      <c r="C969" s="28"/>
      <c r="D969" s="28"/>
      <c r="E969" s="29"/>
      <c r="F969" s="29"/>
      <c r="G969" s="29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" x14ac:dyDescent="0.15">
      <c r="A970" s="28"/>
      <c r="B970" s="28"/>
      <c r="C970" s="28"/>
      <c r="D970" s="28"/>
      <c r="E970" s="29"/>
      <c r="F970" s="29"/>
      <c r="G970" s="29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" x14ac:dyDescent="0.15">
      <c r="A971" s="28"/>
      <c r="B971" s="28"/>
      <c r="C971" s="28"/>
      <c r="D971" s="28"/>
      <c r="E971" s="29"/>
      <c r="F971" s="29"/>
      <c r="G971" s="29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" x14ac:dyDescent="0.15">
      <c r="A972" s="28"/>
      <c r="B972" s="28"/>
      <c r="C972" s="28"/>
      <c r="D972" s="28"/>
      <c r="E972" s="29"/>
      <c r="F972" s="29"/>
      <c r="G972" s="29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" x14ac:dyDescent="0.15">
      <c r="A973" s="28"/>
      <c r="B973" s="28"/>
      <c r="C973" s="28"/>
      <c r="D973" s="28"/>
      <c r="E973" s="29"/>
      <c r="F973" s="29"/>
      <c r="G973" s="29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" x14ac:dyDescent="0.15">
      <c r="A974" s="28"/>
      <c r="B974" s="28"/>
      <c r="C974" s="28"/>
      <c r="D974" s="28"/>
      <c r="E974" s="29"/>
      <c r="F974" s="29"/>
      <c r="G974" s="29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" x14ac:dyDescent="0.15">
      <c r="A975" s="28"/>
      <c r="B975" s="28"/>
      <c r="C975" s="28"/>
      <c r="D975" s="28"/>
      <c r="E975" s="29"/>
      <c r="F975" s="29"/>
      <c r="G975" s="29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" x14ac:dyDescent="0.15">
      <c r="A976" s="28"/>
      <c r="B976" s="28"/>
      <c r="C976" s="28"/>
      <c r="D976" s="28"/>
      <c r="E976" s="29"/>
      <c r="F976" s="29"/>
      <c r="G976" s="29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" x14ac:dyDescent="0.15">
      <c r="A977" s="28"/>
      <c r="B977" s="28"/>
      <c r="C977" s="28"/>
      <c r="D977" s="28"/>
      <c r="E977" s="29"/>
      <c r="F977" s="29"/>
      <c r="G977" s="29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" x14ac:dyDescent="0.15">
      <c r="A978" s="28"/>
      <c r="B978" s="28"/>
      <c r="C978" s="28"/>
      <c r="D978" s="28"/>
      <c r="E978" s="29"/>
      <c r="F978" s="29"/>
      <c r="G978" s="29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" x14ac:dyDescent="0.15">
      <c r="A979" s="28"/>
      <c r="B979" s="28"/>
      <c r="C979" s="28"/>
      <c r="D979" s="28"/>
      <c r="E979" s="29"/>
      <c r="F979" s="29"/>
      <c r="G979" s="29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" x14ac:dyDescent="0.15">
      <c r="A980" s="28"/>
      <c r="B980" s="28"/>
      <c r="C980" s="28"/>
      <c r="D980" s="28"/>
      <c r="E980" s="29"/>
      <c r="F980" s="29"/>
      <c r="G980" s="29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" x14ac:dyDescent="0.15">
      <c r="A981" s="28"/>
      <c r="B981" s="28"/>
      <c r="C981" s="28"/>
      <c r="D981" s="28"/>
      <c r="E981" s="29"/>
      <c r="F981" s="29"/>
      <c r="G981" s="29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" x14ac:dyDescent="0.15">
      <c r="A982" s="28"/>
      <c r="B982" s="28"/>
      <c r="C982" s="28"/>
      <c r="D982" s="28"/>
      <c r="E982" s="29"/>
      <c r="F982" s="29"/>
      <c r="G982" s="29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" x14ac:dyDescent="0.15">
      <c r="A983" s="28"/>
      <c r="B983" s="28"/>
      <c r="C983" s="28"/>
      <c r="D983" s="28"/>
      <c r="E983" s="29"/>
      <c r="F983" s="29"/>
      <c r="G983" s="29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" x14ac:dyDescent="0.15">
      <c r="A984" s="28"/>
      <c r="B984" s="28"/>
      <c r="C984" s="28"/>
      <c r="D984" s="28"/>
      <c r="E984" s="29"/>
      <c r="F984" s="29"/>
      <c r="G984" s="29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</sheetData>
  <conditionalFormatting sqref="E2:G984">
    <cfRule type="cellIs" dxfId="92" priority="1" operator="greaterThan">
      <formula>0</formula>
    </cfRule>
    <cfRule type="cellIs" dxfId="9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2.6640625" customWidth="1"/>
    <col min="4" max="4" width="10.1640625" customWidth="1"/>
    <col min="5" max="5" width="11.83203125" customWidth="1"/>
    <col min="6" max="6" width="11.6640625" customWidth="1"/>
    <col min="8" max="8" width="26.1640625" customWidth="1"/>
  </cols>
  <sheetData>
    <row r="1" spans="1:8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8" ht="15.75" customHeight="1" x14ac:dyDescent="0.25">
      <c r="A2" s="26" t="s">
        <v>13</v>
      </c>
      <c r="B2" s="28"/>
      <c r="C2" s="28"/>
      <c r="D2" s="28"/>
      <c r="E2" s="29"/>
      <c r="F2" s="29"/>
      <c r="G2" s="29"/>
      <c r="H2" s="28"/>
    </row>
    <row r="3" spans="1:8" ht="14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</row>
    <row r="4" spans="1:8" ht="15" x14ac:dyDescent="0.2">
      <c r="A4" s="1"/>
      <c r="B4" s="1"/>
      <c r="C4" s="1" t="s">
        <v>117</v>
      </c>
      <c r="D4" s="36"/>
      <c r="E4" s="8">
        <v>0</v>
      </c>
      <c r="F4" s="37">
        <v>-15000</v>
      </c>
      <c r="G4" s="10"/>
      <c r="H4" s="1" t="s">
        <v>118</v>
      </c>
    </row>
    <row r="5" spans="1:8" ht="15" x14ac:dyDescent="0.2">
      <c r="A5" s="1"/>
      <c r="B5" s="1"/>
      <c r="C5" s="1" t="s">
        <v>119</v>
      </c>
      <c r="D5" s="36"/>
      <c r="E5" s="8">
        <v>0</v>
      </c>
      <c r="F5" s="37">
        <v>-25000</v>
      </c>
      <c r="G5" s="10"/>
      <c r="H5" s="1"/>
    </row>
    <row r="6" spans="1:8" ht="14" x14ac:dyDescent="0.2">
      <c r="A6" s="1"/>
      <c r="B6" s="1"/>
      <c r="C6" s="1" t="s">
        <v>120</v>
      </c>
      <c r="D6" s="1">
        <v>7631</v>
      </c>
      <c r="E6" s="8">
        <v>0</v>
      </c>
      <c r="F6" s="37">
        <v>-30090</v>
      </c>
      <c r="G6" s="10"/>
      <c r="H6" s="34" t="s">
        <v>121</v>
      </c>
    </row>
    <row r="7" spans="1:8" ht="15" x14ac:dyDescent="0.2">
      <c r="A7" s="1"/>
      <c r="B7" s="1"/>
      <c r="C7" s="1" t="s">
        <v>122</v>
      </c>
      <c r="D7" s="36"/>
      <c r="E7" s="8">
        <v>111000</v>
      </c>
      <c r="F7" s="8">
        <v>0</v>
      </c>
      <c r="G7" s="10"/>
      <c r="H7" s="34" t="s">
        <v>123</v>
      </c>
    </row>
    <row r="8" spans="1:8" ht="15" x14ac:dyDescent="0.2">
      <c r="A8" s="1"/>
      <c r="B8" s="1"/>
      <c r="C8" s="1" t="s">
        <v>124</v>
      </c>
      <c r="D8" s="36"/>
      <c r="E8" s="8">
        <v>0</v>
      </c>
      <c r="F8" s="37">
        <v>-52000</v>
      </c>
      <c r="G8" s="10"/>
      <c r="H8" s="34" t="s">
        <v>125</v>
      </c>
    </row>
    <row r="9" spans="1:8" ht="15" x14ac:dyDescent="0.2">
      <c r="A9" s="1"/>
      <c r="B9" s="25"/>
      <c r="C9" s="1" t="s">
        <v>126</v>
      </c>
      <c r="D9" s="38"/>
      <c r="E9" s="8">
        <v>17000</v>
      </c>
      <c r="F9" s="8">
        <v>0</v>
      </c>
      <c r="G9" s="10"/>
      <c r="H9" s="34" t="s">
        <v>127</v>
      </c>
    </row>
    <row r="10" spans="1:8" ht="15" x14ac:dyDescent="0.2">
      <c r="A10" s="1"/>
      <c r="B10" s="25"/>
      <c r="C10" s="36"/>
      <c r="D10" s="38"/>
      <c r="E10" s="38"/>
      <c r="F10" s="38"/>
      <c r="G10" s="10"/>
      <c r="H10" s="34"/>
    </row>
    <row r="11" spans="1:8" ht="15" x14ac:dyDescent="0.2">
      <c r="A11" s="1"/>
      <c r="B11" s="1"/>
      <c r="C11" s="25" t="s">
        <v>80</v>
      </c>
      <c r="D11" s="38"/>
      <c r="E11" s="8">
        <f t="shared" ref="E11:F11" si="0">SUM(E4:E9)</f>
        <v>128000</v>
      </c>
      <c r="F11" s="37">
        <f t="shared" si="0"/>
        <v>-122090</v>
      </c>
      <c r="G11" s="10">
        <f>E11+F11</f>
        <v>5910</v>
      </c>
      <c r="H11" s="34"/>
    </row>
    <row r="12" spans="1:8" ht="14" x14ac:dyDescent="0.2">
      <c r="A12" s="1"/>
      <c r="B12" s="1"/>
      <c r="C12" s="1"/>
      <c r="D12" s="1"/>
      <c r="E12" s="10"/>
      <c r="F12" s="10"/>
      <c r="G12" s="10"/>
      <c r="H12" s="34"/>
    </row>
    <row r="13" spans="1:8" ht="14" x14ac:dyDescent="0.2">
      <c r="A13" s="1"/>
      <c r="B13" s="25" t="s">
        <v>81</v>
      </c>
      <c r="C13" s="1"/>
      <c r="D13" s="1"/>
      <c r="E13" s="10"/>
      <c r="F13" s="10"/>
      <c r="G13" s="10"/>
      <c r="H13" s="34"/>
    </row>
    <row r="14" spans="1:8" ht="14" x14ac:dyDescent="0.2">
      <c r="A14" s="1"/>
      <c r="B14" s="25"/>
      <c r="C14" s="1" t="s">
        <v>83</v>
      </c>
      <c r="D14" s="1">
        <v>7691</v>
      </c>
      <c r="E14" s="10">
        <v>0</v>
      </c>
      <c r="F14" s="10">
        <v>-16200</v>
      </c>
      <c r="G14" s="10"/>
      <c r="H14" s="34" t="s">
        <v>128</v>
      </c>
    </row>
    <row r="15" spans="1:8" ht="14" x14ac:dyDescent="0.2">
      <c r="A15" s="1"/>
      <c r="B15" s="1"/>
      <c r="C15" s="1" t="s">
        <v>129</v>
      </c>
      <c r="D15" s="1">
        <v>7692</v>
      </c>
      <c r="E15" s="10">
        <v>0</v>
      </c>
      <c r="F15" s="10">
        <v>-14040</v>
      </c>
      <c r="G15" s="10"/>
      <c r="H15" s="34" t="s">
        <v>130</v>
      </c>
    </row>
    <row r="16" spans="1:8" ht="14" x14ac:dyDescent="0.2">
      <c r="A16" s="1"/>
      <c r="B16" s="1"/>
      <c r="C16" s="1" t="s">
        <v>131</v>
      </c>
      <c r="D16" s="1">
        <v>7630</v>
      </c>
      <c r="E16" s="10">
        <v>0</v>
      </c>
      <c r="F16" s="10">
        <v>-3500</v>
      </c>
      <c r="G16" s="10"/>
      <c r="H16" s="34"/>
    </row>
    <row r="17" spans="1:8" ht="14" x14ac:dyDescent="0.2">
      <c r="A17" s="1"/>
      <c r="B17" s="1"/>
      <c r="C17" s="1" t="s">
        <v>132</v>
      </c>
      <c r="D17" s="1">
        <v>5931</v>
      </c>
      <c r="E17" s="10">
        <v>0</v>
      </c>
      <c r="F17" s="10">
        <v>-27000</v>
      </c>
      <c r="G17" s="10"/>
      <c r="H17" s="34" t="s">
        <v>133</v>
      </c>
    </row>
    <row r="18" spans="1:8" ht="14" x14ac:dyDescent="0.2">
      <c r="A18" s="1"/>
      <c r="B18" s="1"/>
      <c r="C18" s="1" t="s">
        <v>134</v>
      </c>
      <c r="D18" s="1">
        <v>5800</v>
      </c>
      <c r="E18" s="10">
        <v>0</v>
      </c>
      <c r="F18" s="10">
        <v>-6000</v>
      </c>
      <c r="G18" s="10"/>
      <c r="H18" s="34" t="s">
        <v>135</v>
      </c>
    </row>
    <row r="19" spans="1:8" ht="14" x14ac:dyDescent="0.2">
      <c r="A19" s="1"/>
      <c r="B19" s="1"/>
      <c r="C19" s="1" t="s">
        <v>136</v>
      </c>
      <c r="D19" s="1">
        <v>7692</v>
      </c>
      <c r="E19" s="10">
        <v>0</v>
      </c>
      <c r="F19" s="10">
        <v>-2500</v>
      </c>
      <c r="G19" s="10"/>
      <c r="H19" s="34"/>
    </row>
    <row r="20" spans="1:8" ht="14" x14ac:dyDescent="0.2">
      <c r="A20" s="1"/>
      <c r="B20" s="1"/>
      <c r="C20" s="1" t="s">
        <v>137</v>
      </c>
      <c r="D20" s="1">
        <v>7631</v>
      </c>
      <c r="E20" s="10">
        <v>0</v>
      </c>
      <c r="F20" s="10">
        <v>-27000</v>
      </c>
      <c r="G20" s="10"/>
      <c r="H20" s="34" t="s">
        <v>133</v>
      </c>
    </row>
    <row r="21" spans="1:8" ht="14" x14ac:dyDescent="0.2">
      <c r="A21" s="1"/>
      <c r="B21" s="1"/>
      <c r="C21" s="1" t="s">
        <v>138</v>
      </c>
      <c r="D21" s="1">
        <v>5420</v>
      </c>
      <c r="E21" s="10">
        <v>0</v>
      </c>
      <c r="F21" s="10">
        <v>-4620</v>
      </c>
      <c r="G21" s="10"/>
      <c r="H21" s="34" t="s">
        <v>139</v>
      </c>
    </row>
    <row r="22" spans="1:8" ht="14" x14ac:dyDescent="0.2">
      <c r="A22" s="1"/>
      <c r="B22" s="1"/>
      <c r="C22" s="1"/>
      <c r="D22" s="1"/>
      <c r="E22" s="10"/>
      <c r="F22" s="10"/>
      <c r="G22" s="10"/>
      <c r="H22" s="34"/>
    </row>
    <row r="23" spans="1:8" ht="14" x14ac:dyDescent="0.2">
      <c r="A23" s="1"/>
      <c r="B23" s="1"/>
      <c r="C23" s="25" t="s">
        <v>80</v>
      </c>
      <c r="D23" s="1"/>
      <c r="E23" s="10">
        <f t="shared" ref="E23:F23" si="1">SUM(E14:E21)</f>
        <v>0</v>
      </c>
      <c r="F23" s="10">
        <f t="shared" si="1"/>
        <v>-100860</v>
      </c>
      <c r="G23" s="10">
        <f>E23+F23</f>
        <v>-100860</v>
      </c>
      <c r="H23" s="34"/>
    </row>
    <row r="24" spans="1:8" ht="14" x14ac:dyDescent="0.2">
      <c r="A24" s="1"/>
      <c r="B24" s="1"/>
      <c r="C24" s="1"/>
      <c r="D24" s="1"/>
      <c r="E24" s="10"/>
      <c r="F24" s="10"/>
      <c r="G24" s="10"/>
      <c r="H24" s="34"/>
    </row>
    <row r="25" spans="1:8" ht="14" x14ac:dyDescent="0.2">
      <c r="A25" s="1"/>
      <c r="B25" s="25" t="s">
        <v>140</v>
      </c>
      <c r="C25" s="1"/>
      <c r="D25" s="1"/>
      <c r="E25" s="10"/>
      <c r="F25" s="10"/>
      <c r="G25" s="10"/>
      <c r="H25" s="1"/>
    </row>
    <row r="26" spans="1:8" ht="14" x14ac:dyDescent="0.2">
      <c r="A26" s="1"/>
      <c r="B26" s="1"/>
      <c r="C26" s="1" t="s">
        <v>141</v>
      </c>
      <c r="D26" s="1"/>
      <c r="E26" s="10">
        <v>160000</v>
      </c>
      <c r="F26" s="10">
        <v>0</v>
      </c>
      <c r="G26" s="10"/>
      <c r="H26" s="1"/>
    </row>
    <row r="27" spans="1:8" ht="14" x14ac:dyDescent="0.2">
      <c r="A27" s="1"/>
      <c r="B27" s="1"/>
      <c r="C27" s="1" t="s">
        <v>142</v>
      </c>
      <c r="D27" s="1"/>
      <c r="E27" s="10">
        <v>2520000</v>
      </c>
      <c r="F27" s="10">
        <v>0</v>
      </c>
      <c r="G27" s="10"/>
      <c r="H27" s="1" t="s">
        <v>143</v>
      </c>
    </row>
    <row r="28" spans="1:8" ht="14" x14ac:dyDescent="0.2">
      <c r="A28" s="1"/>
      <c r="B28" s="1"/>
      <c r="C28" s="1" t="s">
        <v>144</v>
      </c>
      <c r="D28" s="1"/>
      <c r="E28" s="10">
        <v>940000</v>
      </c>
      <c r="F28" s="10">
        <v>0</v>
      </c>
      <c r="G28" s="10"/>
      <c r="H28" s="1" t="s">
        <v>145</v>
      </c>
    </row>
    <row r="29" spans="1:8" ht="14" x14ac:dyDescent="0.2">
      <c r="A29" s="1"/>
      <c r="B29" s="1"/>
      <c r="C29" s="1" t="s">
        <v>146</v>
      </c>
      <c r="D29" s="1"/>
      <c r="E29" s="10">
        <v>354000</v>
      </c>
      <c r="F29" s="10">
        <v>0</v>
      </c>
      <c r="G29" s="10"/>
      <c r="H29" s="1" t="s">
        <v>147</v>
      </c>
    </row>
    <row r="30" spans="1:8" ht="14" x14ac:dyDescent="0.2">
      <c r="A30" s="1"/>
      <c r="B30" s="1"/>
      <c r="C30" s="1" t="s">
        <v>148</v>
      </c>
      <c r="D30" s="1"/>
      <c r="E30" s="10">
        <v>30000</v>
      </c>
      <c r="F30" s="10">
        <v>0</v>
      </c>
      <c r="G30" s="10"/>
      <c r="H30" s="1" t="s">
        <v>149</v>
      </c>
    </row>
    <row r="31" spans="1:8" ht="14" x14ac:dyDescent="0.2">
      <c r="A31" s="1"/>
      <c r="B31" s="1"/>
      <c r="C31" s="1" t="s">
        <v>150</v>
      </c>
      <c r="D31" s="1"/>
      <c r="E31" s="10">
        <v>75000</v>
      </c>
      <c r="F31" s="10">
        <v>0</v>
      </c>
      <c r="G31" s="10"/>
      <c r="H31" s="1"/>
    </row>
    <row r="32" spans="1:8" ht="14" x14ac:dyDescent="0.2">
      <c r="A32" s="1"/>
      <c r="B32" s="1"/>
      <c r="C32" s="1" t="s">
        <v>151</v>
      </c>
      <c r="D32" s="1"/>
      <c r="E32" s="10">
        <v>0</v>
      </c>
      <c r="F32" s="10">
        <v>-360500</v>
      </c>
      <c r="G32" s="10"/>
      <c r="H32" s="1" t="s">
        <v>152</v>
      </c>
    </row>
    <row r="33" spans="1:8" ht="14" x14ac:dyDescent="0.2">
      <c r="A33" s="1"/>
      <c r="B33" s="1"/>
      <c r="C33" s="1" t="s">
        <v>153</v>
      </c>
      <c r="D33" s="1"/>
      <c r="E33" s="10">
        <v>0</v>
      </c>
      <c r="F33" s="10">
        <v>-32000</v>
      </c>
      <c r="G33" s="10"/>
      <c r="H33" s="1"/>
    </row>
    <row r="34" spans="1:8" ht="14" x14ac:dyDescent="0.2">
      <c r="A34" s="1"/>
      <c r="B34" s="1"/>
      <c r="C34" s="1" t="s">
        <v>154</v>
      </c>
      <c r="D34" s="1"/>
      <c r="E34" s="10">
        <v>0</v>
      </c>
      <c r="F34" s="10">
        <v>-4000</v>
      </c>
      <c r="G34" s="10"/>
      <c r="H34" s="1"/>
    </row>
    <row r="35" spans="1:8" ht="14" x14ac:dyDescent="0.2">
      <c r="A35" s="1"/>
      <c r="B35" s="1"/>
      <c r="C35" s="1" t="s">
        <v>155</v>
      </c>
      <c r="D35" s="1"/>
      <c r="E35" s="10">
        <v>0</v>
      </c>
      <c r="F35" s="10">
        <v>-1000</v>
      </c>
      <c r="G35" s="10"/>
      <c r="H35" s="1"/>
    </row>
    <row r="36" spans="1:8" ht="14" x14ac:dyDescent="0.2">
      <c r="A36" s="1"/>
      <c r="B36" s="1"/>
      <c r="C36" s="1" t="s">
        <v>96</v>
      </c>
      <c r="D36" s="1"/>
      <c r="E36" s="10">
        <v>0</v>
      </c>
      <c r="F36" s="10">
        <v>-112000</v>
      </c>
      <c r="G36" s="10"/>
      <c r="H36" s="1"/>
    </row>
    <row r="37" spans="1:8" ht="14" x14ac:dyDescent="0.2">
      <c r="A37" s="1"/>
      <c r="B37" s="1"/>
      <c r="C37" s="1" t="s">
        <v>156</v>
      </c>
      <c r="D37" s="1"/>
      <c r="E37" s="10">
        <v>0</v>
      </c>
      <c r="F37" s="10">
        <v>-152000</v>
      </c>
      <c r="G37" s="10"/>
      <c r="H37" s="1"/>
    </row>
    <row r="38" spans="1:8" ht="14" x14ac:dyDescent="0.2">
      <c r="A38" s="1"/>
      <c r="B38" s="1"/>
      <c r="C38" s="1" t="s">
        <v>157</v>
      </c>
      <c r="D38" s="1"/>
      <c r="E38" s="10">
        <v>0</v>
      </c>
      <c r="F38" s="10">
        <v>-4000</v>
      </c>
      <c r="G38" s="10"/>
      <c r="H38" s="1"/>
    </row>
    <row r="39" spans="1:8" ht="14" x14ac:dyDescent="0.2">
      <c r="A39" s="1"/>
      <c r="B39" s="1"/>
      <c r="C39" s="1" t="s">
        <v>158</v>
      </c>
      <c r="D39" s="1"/>
      <c r="E39" s="10">
        <v>0</v>
      </c>
      <c r="F39" s="10">
        <v>-30000</v>
      </c>
      <c r="G39" s="10"/>
      <c r="H39" s="1"/>
    </row>
    <row r="40" spans="1:8" ht="14" x14ac:dyDescent="0.2">
      <c r="A40" s="1"/>
      <c r="B40" s="1"/>
      <c r="C40" s="1" t="s">
        <v>159</v>
      </c>
      <c r="D40" s="1"/>
      <c r="E40" s="10">
        <v>0</v>
      </c>
      <c r="F40" s="10">
        <v>-100000</v>
      </c>
      <c r="G40" s="10"/>
      <c r="H40" s="1" t="s">
        <v>160</v>
      </c>
    </row>
    <row r="41" spans="1:8" ht="14" x14ac:dyDescent="0.2">
      <c r="A41" s="1"/>
      <c r="B41" s="1"/>
      <c r="C41" s="1" t="s">
        <v>161</v>
      </c>
      <c r="D41" s="1"/>
      <c r="E41" s="10">
        <v>0</v>
      </c>
      <c r="F41" s="10">
        <v>-160800</v>
      </c>
      <c r="G41" s="10"/>
      <c r="H41" s="1" t="s">
        <v>162</v>
      </c>
    </row>
    <row r="42" spans="1:8" ht="14" x14ac:dyDescent="0.2">
      <c r="A42" s="1"/>
      <c r="B42" s="1"/>
      <c r="C42" s="1" t="s">
        <v>97</v>
      </c>
      <c r="D42" s="1"/>
      <c r="E42" s="10">
        <v>0</v>
      </c>
      <c r="F42" s="10">
        <v>-26250</v>
      </c>
      <c r="G42" s="10"/>
      <c r="H42" s="1" t="s">
        <v>163</v>
      </c>
    </row>
    <row r="43" spans="1:8" ht="14" x14ac:dyDescent="0.2">
      <c r="A43" s="1"/>
      <c r="B43" s="1"/>
      <c r="C43" s="1" t="s">
        <v>164</v>
      </c>
      <c r="D43" s="1"/>
      <c r="E43" s="10">
        <v>0</v>
      </c>
      <c r="F43" s="10">
        <v>-3500</v>
      </c>
      <c r="G43" s="10"/>
      <c r="H43" s="1"/>
    </row>
    <row r="44" spans="1:8" ht="14" x14ac:dyDescent="0.2">
      <c r="A44" s="1"/>
      <c r="B44" s="1"/>
      <c r="C44" s="1"/>
      <c r="D44" s="1"/>
      <c r="E44" s="10"/>
      <c r="F44" s="10"/>
      <c r="G44" s="10"/>
      <c r="H44" s="1"/>
    </row>
    <row r="45" spans="1:8" ht="14" x14ac:dyDescent="0.2">
      <c r="A45" s="1"/>
      <c r="B45" s="1"/>
      <c r="C45" s="25" t="s">
        <v>80</v>
      </c>
      <c r="D45" s="1"/>
      <c r="E45" s="10">
        <f t="shared" ref="E45:F45" si="2">SUM(E26:E43)</f>
        <v>4079000</v>
      </c>
      <c r="F45" s="10">
        <f t="shared" si="2"/>
        <v>-986050</v>
      </c>
      <c r="G45" s="10">
        <f>E45+F45</f>
        <v>3092950</v>
      </c>
      <c r="H45" s="1"/>
    </row>
    <row r="46" spans="1:8" ht="14" x14ac:dyDescent="0.2">
      <c r="A46" s="1"/>
      <c r="B46" s="25"/>
      <c r="C46" s="25"/>
      <c r="D46" s="1"/>
      <c r="E46" s="10"/>
      <c r="F46" s="10"/>
      <c r="G46" s="10"/>
    </row>
    <row r="47" spans="1:8" ht="14" x14ac:dyDescent="0.2">
      <c r="A47" s="1"/>
      <c r="B47" s="25" t="s">
        <v>165</v>
      </c>
      <c r="C47" s="1"/>
      <c r="D47" s="1"/>
      <c r="E47" s="10"/>
      <c r="F47" s="10"/>
      <c r="G47" s="10"/>
      <c r="H47" s="1"/>
    </row>
    <row r="48" spans="1:8" ht="14" x14ac:dyDescent="0.2">
      <c r="A48" s="1"/>
      <c r="B48" s="1"/>
      <c r="C48" s="1" t="s">
        <v>166</v>
      </c>
      <c r="D48" s="1"/>
      <c r="E48" s="10">
        <v>48000</v>
      </c>
      <c r="F48" s="10">
        <v>0</v>
      </c>
      <c r="G48" s="10"/>
      <c r="H48" s="1"/>
    </row>
    <row r="49" spans="1:8" ht="14" x14ac:dyDescent="0.2">
      <c r="A49" s="1"/>
      <c r="B49" s="1"/>
      <c r="C49" s="1" t="s">
        <v>151</v>
      </c>
      <c r="D49" s="1"/>
      <c r="E49" s="10">
        <v>0</v>
      </c>
      <c r="F49" s="10">
        <v>-70000</v>
      </c>
      <c r="G49" s="10"/>
      <c r="H49" s="1"/>
    </row>
    <row r="50" spans="1:8" ht="14" x14ac:dyDescent="0.2">
      <c r="A50" s="1"/>
      <c r="B50" s="1"/>
      <c r="C50" s="1" t="s">
        <v>161</v>
      </c>
      <c r="D50" s="1"/>
      <c r="E50" s="10">
        <v>0</v>
      </c>
      <c r="F50" s="10">
        <v>-465750</v>
      </c>
      <c r="G50" s="10"/>
      <c r="H50" s="1"/>
    </row>
    <row r="51" spans="1:8" ht="14" x14ac:dyDescent="0.2">
      <c r="A51" s="1"/>
      <c r="B51" s="1"/>
      <c r="C51" s="1" t="s">
        <v>167</v>
      </c>
      <c r="D51" s="1"/>
      <c r="E51" s="10">
        <v>0</v>
      </c>
      <c r="F51" s="10">
        <v>-79000</v>
      </c>
      <c r="G51" s="10"/>
      <c r="H51" s="1"/>
    </row>
    <row r="52" spans="1:8" ht="14" x14ac:dyDescent="0.2">
      <c r="A52" s="1"/>
      <c r="B52" s="1"/>
      <c r="C52" s="1" t="s">
        <v>168</v>
      </c>
      <c r="D52" s="1"/>
      <c r="E52" s="10">
        <v>0</v>
      </c>
      <c r="F52" s="10">
        <v>-42500</v>
      </c>
      <c r="G52" s="10"/>
      <c r="H52" s="1"/>
    </row>
    <row r="53" spans="1:8" ht="14" x14ac:dyDescent="0.2">
      <c r="A53" s="1"/>
      <c r="B53" s="1"/>
      <c r="C53" s="1" t="s">
        <v>96</v>
      </c>
      <c r="D53" s="1"/>
      <c r="E53" s="10">
        <v>0</v>
      </c>
      <c r="F53" s="10">
        <v>-6000</v>
      </c>
      <c r="G53" s="10"/>
      <c r="H53" s="1"/>
    </row>
    <row r="54" spans="1:8" ht="14" x14ac:dyDescent="0.2">
      <c r="A54" s="1"/>
      <c r="B54" s="1"/>
      <c r="C54" s="1" t="s">
        <v>169</v>
      </c>
      <c r="D54" s="1"/>
      <c r="E54" s="10">
        <v>0</v>
      </c>
      <c r="F54" s="10">
        <v>-65000</v>
      </c>
      <c r="G54" s="10"/>
      <c r="H54" s="1"/>
    </row>
    <row r="55" spans="1:8" ht="14" x14ac:dyDescent="0.2">
      <c r="A55" s="1"/>
      <c r="B55" s="1"/>
      <c r="C55" s="1"/>
      <c r="D55" s="1"/>
      <c r="E55" s="10"/>
      <c r="F55" s="10"/>
      <c r="G55" s="10"/>
      <c r="H55" s="1"/>
    </row>
    <row r="56" spans="1:8" ht="14" x14ac:dyDescent="0.2">
      <c r="A56" s="1"/>
      <c r="B56" s="1"/>
      <c r="C56" s="25" t="s">
        <v>80</v>
      </c>
      <c r="D56" s="1"/>
      <c r="E56" s="10">
        <f t="shared" ref="E56:F56" si="3">SUM(E48:E54)</f>
        <v>48000</v>
      </c>
      <c r="F56" s="10">
        <f t="shared" si="3"/>
        <v>-728250</v>
      </c>
      <c r="G56" s="10">
        <f>E56+F56</f>
        <v>-680250</v>
      </c>
      <c r="H56" s="1"/>
    </row>
    <row r="57" spans="1:8" ht="14" x14ac:dyDescent="0.2">
      <c r="A57" s="1"/>
      <c r="B57" s="25"/>
      <c r="C57" s="25"/>
      <c r="D57" s="1"/>
      <c r="E57" s="10"/>
      <c r="F57" s="10"/>
      <c r="G57" s="10"/>
    </row>
    <row r="58" spans="1:8" ht="14" x14ac:dyDescent="0.2">
      <c r="A58" s="1"/>
      <c r="B58" s="25" t="s">
        <v>170</v>
      </c>
      <c r="C58" s="25"/>
      <c r="D58" s="1"/>
      <c r="E58" s="10"/>
      <c r="F58" s="10"/>
      <c r="G58" s="10"/>
    </row>
    <row r="59" spans="1:8" ht="14" x14ac:dyDescent="0.2">
      <c r="A59" s="1"/>
      <c r="B59" s="25"/>
      <c r="C59" s="1" t="s">
        <v>88</v>
      </c>
      <c r="D59" s="1" t="s">
        <v>89</v>
      </c>
      <c r="E59" s="10">
        <v>5440</v>
      </c>
      <c r="F59" s="10">
        <v>0</v>
      </c>
      <c r="G59" s="10"/>
      <c r="H59" s="34" t="s">
        <v>171</v>
      </c>
    </row>
    <row r="60" spans="1:8" ht="14" x14ac:dyDescent="0.2">
      <c r="A60" s="1"/>
      <c r="B60" s="1"/>
      <c r="C60" s="1" t="s">
        <v>172</v>
      </c>
      <c r="D60" s="1">
        <v>4029</v>
      </c>
      <c r="E60" s="10">
        <v>0</v>
      </c>
      <c r="F60" s="10">
        <v>-4800</v>
      </c>
      <c r="G60" s="10"/>
      <c r="H60" s="34" t="s">
        <v>173</v>
      </c>
    </row>
    <row r="61" spans="1:8" ht="14" x14ac:dyDescent="0.2">
      <c r="A61" s="1"/>
      <c r="B61" s="1"/>
      <c r="C61" s="1" t="s">
        <v>91</v>
      </c>
      <c r="D61" s="1" t="s">
        <v>92</v>
      </c>
      <c r="E61" s="35">
        <v>0</v>
      </c>
      <c r="F61" s="35">
        <v>-4160</v>
      </c>
      <c r="G61" s="10"/>
      <c r="H61" s="34" t="s">
        <v>174</v>
      </c>
    </row>
    <row r="62" spans="1:8" ht="14" x14ac:dyDescent="0.2">
      <c r="A62" s="1"/>
      <c r="B62" s="1"/>
      <c r="C62" s="1" t="s">
        <v>98</v>
      </c>
      <c r="D62" s="1">
        <v>5463</v>
      </c>
      <c r="E62" s="10">
        <v>0</v>
      </c>
      <c r="F62" s="10">
        <v>-800</v>
      </c>
      <c r="G62" s="10"/>
      <c r="H62" s="1"/>
    </row>
    <row r="63" spans="1:8" ht="14" x14ac:dyDescent="0.2">
      <c r="A63" s="1"/>
      <c r="B63" s="1"/>
      <c r="C63" s="1" t="s">
        <v>175</v>
      </c>
      <c r="D63" s="1"/>
      <c r="E63" s="10">
        <v>0</v>
      </c>
      <c r="F63" s="10">
        <v>-400</v>
      </c>
      <c r="G63" s="10"/>
      <c r="H63" s="34"/>
    </row>
    <row r="64" spans="1:8" ht="14" x14ac:dyDescent="0.2">
      <c r="A64" s="1"/>
      <c r="B64" s="1"/>
      <c r="C64" s="1" t="s">
        <v>97</v>
      </c>
      <c r="D64" s="1">
        <v>7691</v>
      </c>
      <c r="E64" s="10">
        <v>0</v>
      </c>
      <c r="F64" s="10">
        <v>-400</v>
      </c>
      <c r="G64" s="10"/>
      <c r="H64" s="1"/>
    </row>
    <row r="65" spans="1:8" ht="14" x14ac:dyDescent="0.2">
      <c r="A65" s="1"/>
      <c r="B65" s="1"/>
      <c r="C65" s="1" t="s">
        <v>96</v>
      </c>
      <c r="D65" s="1">
        <v>5411</v>
      </c>
      <c r="E65" s="10">
        <v>0</v>
      </c>
      <c r="F65" s="10">
        <v>-2000</v>
      </c>
      <c r="G65" s="10"/>
      <c r="H65" s="1"/>
    </row>
    <row r="66" spans="1:8" ht="14" x14ac:dyDescent="0.2">
      <c r="A66" s="1"/>
      <c r="B66" s="1"/>
      <c r="C66" s="1" t="s">
        <v>99</v>
      </c>
      <c r="D66" s="1">
        <v>4027</v>
      </c>
      <c r="E66" s="10">
        <v>0</v>
      </c>
      <c r="F66" s="10">
        <v>-1900</v>
      </c>
      <c r="G66" s="10"/>
      <c r="H66" s="1"/>
    </row>
    <row r="67" spans="1:8" ht="14" x14ac:dyDescent="0.2">
      <c r="A67" s="1"/>
      <c r="B67" s="1"/>
      <c r="C67" s="1"/>
      <c r="D67" s="1"/>
      <c r="E67" s="10"/>
      <c r="F67" s="10"/>
      <c r="G67" s="10"/>
      <c r="H67" s="1"/>
    </row>
    <row r="68" spans="1:8" ht="14" x14ac:dyDescent="0.2">
      <c r="A68" s="1"/>
      <c r="B68" s="1"/>
      <c r="C68" s="25" t="s">
        <v>80</v>
      </c>
      <c r="D68" s="1"/>
      <c r="E68" s="10">
        <f t="shared" ref="E68:F68" si="4">SUM(E59:E66)</f>
        <v>5440</v>
      </c>
      <c r="F68" s="10">
        <f t="shared" si="4"/>
        <v>-14460</v>
      </c>
      <c r="G68" s="10">
        <f>E68+F68</f>
        <v>-9020</v>
      </c>
      <c r="H68" s="1"/>
    </row>
    <row r="69" spans="1:8" ht="14" x14ac:dyDescent="0.2">
      <c r="A69" s="1"/>
      <c r="B69" s="1"/>
      <c r="C69" s="1"/>
      <c r="D69" s="1"/>
      <c r="E69" s="10"/>
      <c r="F69" s="10"/>
      <c r="G69" s="10"/>
      <c r="H69" s="1"/>
    </row>
    <row r="70" spans="1:8" ht="14" x14ac:dyDescent="0.2">
      <c r="A70" s="1"/>
      <c r="B70" s="25" t="s">
        <v>176</v>
      </c>
      <c r="C70" s="1"/>
      <c r="D70" s="1"/>
      <c r="E70" s="10"/>
      <c r="F70" s="10"/>
      <c r="G70" s="10"/>
      <c r="H70" s="1"/>
    </row>
    <row r="71" spans="1:8" ht="14" x14ac:dyDescent="0.2">
      <c r="A71" s="1"/>
      <c r="B71" s="1"/>
      <c r="C71" s="1" t="s">
        <v>177</v>
      </c>
      <c r="D71" s="1"/>
      <c r="E71" s="10">
        <v>2000</v>
      </c>
      <c r="F71" s="10">
        <v>0</v>
      </c>
      <c r="G71" s="10"/>
      <c r="H71" s="1"/>
    </row>
    <row r="72" spans="1:8" ht="14" x14ac:dyDescent="0.2">
      <c r="A72" s="1"/>
      <c r="B72" s="1"/>
      <c r="C72" s="1" t="s">
        <v>172</v>
      </c>
      <c r="D72" s="1"/>
      <c r="E72" s="10">
        <v>0</v>
      </c>
      <c r="F72" s="10">
        <v>-2000</v>
      </c>
      <c r="G72" s="10"/>
      <c r="H72" s="1"/>
    </row>
    <row r="73" spans="1:8" ht="14" x14ac:dyDescent="0.2">
      <c r="A73" s="1"/>
      <c r="B73" s="1"/>
      <c r="C73" s="1" t="s">
        <v>98</v>
      </c>
      <c r="D73" s="1"/>
      <c r="E73" s="10">
        <v>0</v>
      </c>
      <c r="F73" s="10">
        <v>-250</v>
      </c>
      <c r="G73" s="10"/>
      <c r="H73" s="1"/>
    </row>
    <row r="74" spans="1:8" ht="14" x14ac:dyDescent="0.2">
      <c r="A74" s="1"/>
      <c r="B74" s="1"/>
      <c r="C74" s="1" t="s">
        <v>175</v>
      </c>
      <c r="D74" s="1"/>
      <c r="E74" s="10">
        <v>0</v>
      </c>
      <c r="F74" s="10">
        <v>-200</v>
      </c>
      <c r="G74" s="10"/>
      <c r="H74" s="1"/>
    </row>
    <row r="75" spans="1:8" ht="14" x14ac:dyDescent="0.2">
      <c r="A75" s="1"/>
      <c r="B75" s="1"/>
      <c r="C75" s="1" t="s">
        <v>96</v>
      </c>
      <c r="D75" s="1"/>
      <c r="E75" s="10">
        <v>0</v>
      </c>
      <c r="F75" s="10">
        <v>-400</v>
      </c>
      <c r="G75" s="10"/>
      <c r="H75" s="1"/>
    </row>
    <row r="76" spans="1:8" ht="14" x14ac:dyDescent="0.2">
      <c r="A76" s="1"/>
      <c r="B76" s="1"/>
      <c r="C76" s="1" t="s">
        <v>97</v>
      </c>
      <c r="D76" s="1"/>
      <c r="E76" s="10">
        <v>0</v>
      </c>
      <c r="F76" s="10">
        <v>-400</v>
      </c>
      <c r="G76" s="10"/>
      <c r="H76" s="1"/>
    </row>
    <row r="77" spans="1:8" ht="14" x14ac:dyDescent="0.2">
      <c r="A77" s="1"/>
      <c r="B77" s="1"/>
      <c r="C77" s="1"/>
      <c r="D77" s="1"/>
      <c r="E77" s="10"/>
      <c r="F77" s="10"/>
      <c r="G77" s="10"/>
      <c r="H77" s="1"/>
    </row>
    <row r="78" spans="1:8" ht="14" x14ac:dyDescent="0.2">
      <c r="A78" s="1"/>
      <c r="B78" s="1"/>
      <c r="C78" s="25" t="s">
        <v>80</v>
      </c>
      <c r="D78" s="1"/>
      <c r="E78" s="10">
        <f t="shared" ref="E78:F78" si="5">SUM(E71:E76)</f>
        <v>2000</v>
      </c>
      <c r="F78" s="10">
        <f t="shared" si="5"/>
        <v>-3250</v>
      </c>
      <c r="G78" s="10">
        <f>E78+F78</f>
        <v>-1250</v>
      </c>
      <c r="H78" s="1"/>
    </row>
    <row r="79" spans="1:8" ht="14" x14ac:dyDescent="0.2">
      <c r="A79" s="1"/>
      <c r="B79" s="1"/>
      <c r="C79" s="25"/>
      <c r="D79" s="1"/>
      <c r="E79" s="10"/>
      <c r="F79" s="10"/>
      <c r="G79" s="10"/>
      <c r="H79" s="1"/>
    </row>
    <row r="80" spans="1:8" ht="15" x14ac:dyDescent="0.2">
      <c r="A80" s="1"/>
      <c r="B80" s="39" t="s">
        <v>178</v>
      </c>
      <c r="C80" s="36"/>
      <c r="D80" s="36"/>
      <c r="E80" s="40"/>
      <c r="F80" s="40"/>
      <c r="G80" s="40"/>
      <c r="H80" s="1"/>
    </row>
    <row r="81" spans="1:8" ht="15" x14ac:dyDescent="0.2">
      <c r="A81" s="1"/>
      <c r="B81" s="36"/>
      <c r="C81" s="36" t="s">
        <v>88</v>
      </c>
      <c r="D81" s="36" t="s">
        <v>89</v>
      </c>
      <c r="E81" s="41">
        <f>9900+3600+450-2500</f>
        <v>11450</v>
      </c>
      <c r="F81" s="42">
        <v>0</v>
      </c>
      <c r="G81" s="38"/>
      <c r="H81" s="1"/>
    </row>
    <row r="82" spans="1:8" ht="15" x14ac:dyDescent="0.2">
      <c r="A82" s="1"/>
      <c r="B82" s="36"/>
      <c r="C82" s="36" t="s">
        <v>91</v>
      </c>
      <c r="D82" s="36" t="s">
        <v>179</v>
      </c>
      <c r="E82" s="42">
        <v>0</v>
      </c>
      <c r="F82" s="43">
        <f>-3600-450</f>
        <v>-4050</v>
      </c>
      <c r="G82" s="38"/>
      <c r="H82" s="1"/>
    </row>
    <row r="83" spans="1:8" ht="15" x14ac:dyDescent="0.2">
      <c r="A83" s="1"/>
      <c r="B83" s="36"/>
      <c r="C83" s="36" t="s">
        <v>94</v>
      </c>
      <c r="D83" s="44">
        <v>4029</v>
      </c>
      <c r="E83" s="42">
        <v>0</v>
      </c>
      <c r="F83" s="43">
        <v>-5400</v>
      </c>
      <c r="G83" s="38"/>
      <c r="H83" s="1"/>
    </row>
    <row r="84" spans="1:8" ht="15" x14ac:dyDescent="0.2">
      <c r="A84" s="1"/>
      <c r="B84" s="36"/>
      <c r="C84" s="36" t="s">
        <v>96</v>
      </c>
      <c r="D84" s="44">
        <v>5411</v>
      </c>
      <c r="E84" s="42">
        <v>0</v>
      </c>
      <c r="F84" s="43">
        <v>-1000</v>
      </c>
      <c r="G84" s="38"/>
      <c r="H84" s="1"/>
    </row>
    <row r="85" spans="1:8" ht="15" x14ac:dyDescent="0.2">
      <c r="A85" s="1"/>
      <c r="B85" s="36"/>
      <c r="C85" s="36" t="s">
        <v>97</v>
      </c>
      <c r="D85" s="44">
        <v>7691</v>
      </c>
      <c r="E85" s="42">
        <v>0</v>
      </c>
      <c r="F85" s="43">
        <v>-200</v>
      </c>
      <c r="G85" s="38"/>
      <c r="H85" s="1"/>
    </row>
    <row r="86" spans="1:8" ht="15" x14ac:dyDescent="0.2">
      <c r="A86" s="1"/>
      <c r="B86" s="36"/>
      <c r="C86" s="36" t="s">
        <v>98</v>
      </c>
      <c r="D86" s="44">
        <v>5463</v>
      </c>
      <c r="E86" s="42">
        <v>0</v>
      </c>
      <c r="F86" s="43">
        <v>-900</v>
      </c>
      <c r="G86" s="38"/>
      <c r="H86" s="1"/>
    </row>
    <row r="87" spans="1:8" ht="15" x14ac:dyDescent="0.2">
      <c r="A87" s="1"/>
      <c r="B87" s="36"/>
      <c r="C87" s="36" t="s">
        <v>99</v>
      </c>
      <c r="D87" s="44">
        <v>4027</v>
      </c>
      <c r="E87" s="42">
        <v>0</v>
      </c>
      <c r="F87" s="43">
        <v>-2000</v>
      </c>
      <c r="G87" s="38"/>
      <c r="H87" s="1"/>
    </row>
    <row r="88" spans="1:8" ht="15" x14ac:dyDescent="0.2">
      <c r="A88" s="1"/>
      <c r="B88" s="36"/>
      <c r="C88" s="36" t="s">
        <v>175</v>
      </c>
      <c r="D88" s="44">
        <v>4021</v>
      </c>
      <c r="E88" s="42">
        <v>0</v>
      </c>
      <c r="F88" s="43">
        <v>-400</v>
      </c>
      <c r="G88" s="38"/>
      <c r="H88" s="1"/>
    </row>
    <row r="89" spans="1:8" ht="15" x14ac:dyDescent="0.2">
      <c r="A89" s="1"/>
      <c r="B89" s="36"/>
      <c r="C89" s="36"/>
      <c r="D89" s="36"/>
      <c r="E89" s="38"/>
      <c r="F89" s="38"/>
      <c r="G89" s="38"/>
      <c r="H89" s="1"/>
    </row>
    <row r="90" spans="1:8" ht="15" x14ac:dyDescent="0.2">
      <c r="A90" s="1"/>
      <c r="B90" s="36"/>
      <c r="C90" s="25" t="s">
        <v>80</v>
      </c>
      <c r="D90" s="36"/>
      <c r="E90" s="41">
        <f t="shared" ref="E90:F90" si="6">SUM(E80:E88)</f>
        <v>11450</v>
      </c>
      <c r="F90" s="43">
        <f t="shared" si="6"/>
        <v>-13950</v>
      </c>
      <c r="G90" s="42">
        <f>SUM(E90:F90)</f>
        <v>-2500</v>
      </c>
      <c r="H90" s="1"/>
    </row>
    <row r="91" spans="1:8" ht="14" x14ac:dyDescent="0.2">
      <c r="A91" s="1"/>
      <c r="B91" s="1"/>
      <c r="C91" s="25"/>
      <c r="D91" s="1"/>
      <c r="E91" s="31"/>
      <c r="F91" s="31"/>
      <c r="G91" s="10"/>
      <c r="H91" s="1"/>
    </row>
    <row r="92" spans="1:8" ht="14" x14ac:dyDescent="0.2">
      <c r="A92" s="1"/>
      <c r="B92" s="1"/>
      <c r="C92" s="25" t="s">
        <v>102</v>
      </c>
      <c r="D92" s="1"/>
      <c r="E92" s="31">
        <f t="shared" ref="E92:F92" si="7">SUMIFS(E2:E90,$C2:$C90,"Subsubtotal")</f>
        <v>4273890</v>
      </c>
      <c r="F92" s="31">
        <f t="shared" si="7"/>
        <v>-1968910</v>
      </c>
      <c r="G92" s="10">
        <f>SUM(G2:G90)</f>
        <v>2304980</v>
      </c>
      <c r="H92" s="1"/>
    </row>
    <row r="93" spans="1:8" ht="14" x14ac:dyDescent="0.2">
      <c r="A93" s="1"/>
      <c r="B93" s="1"/>
      <c r="C93" s="1"/>
      <c r="D93" s="1"/>
      <c r="E93" s="10"/>
      <c r="F93" s="10"/>
      <c r="G93" s="10"/>
      <c r="H93" s="1"/>
    </row>
  </sheetData>
  <conditionalFormatting sqref="E2:G93">
    <cfRule type="cellIs" dxfId="90" priority="1" operator="greaterThan">
      <formula>0</formula>
    </cfRule>
    <cfRule type="cellIs" dxfId="89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1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2.6640625" customWidth="1"/>
    <col min="4" max="4" width="10.1640625" customWidth="1"/>
    <col min="5" max="5" width="11.83203125" customWidth="1"/>
    <col min="6" max="6" width="11.6640625" customWidth="1"/>
    <col min="8" max="8" width="26.16406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15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" x14ac:dyDescent="0.2">
      <c r="A4" s="1"/>
      <c r="B4" s="1"/>
      <c r="C4" s="1" t="s">
        <v>180</v>
      </c>
      <c r="D4" s="36">
        <v>7691</v>
      </c>
      <c r="E4" s="8">
        <v>0</v>
      </c>
      <c r="F4" s="37">
        <v>-150</v>
      </c>
      <c r="G4" s="10"/>
      <c r="H4" s="1"/>
      <c r="I4" s="1"/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" x14ac:dyDescent="0.2">
      <c r="A5" s="1"/>
      <c r="B5" s="1"/>
      <c r="C5" s="1" t="s">
        <v>181</v>
      </c>
      <c r="D5" s="36">
        <v>5010</v>
      </c>
      <c r="E5" s="8">
        <v>0</v>
      </c>
      <c r="F5" s="37">
        <f>-(25000+1350)</f>
        <v>-26350</v>
      </c>
      <c r="G5" s="10"/>
      <c r="H5" s="34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" x14ac:dyDescent="0.2">
      <c r="A6" s="1"/>
      <c r="B6" s="25"/>
      <c r="C6" s="36"/>
      <c r="D6" s="38"/>
      <c r="E6" s="38"/>
      <c r="F6" s="38"/>
      <c r="G6" s="10"/>
      <c r="H6" s="34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" x14ac:dyDescent="0.2">
      <c r="A7" s="1"/>
      <c r="B7" s="1"/>
      <c r="C7" s="25" t="s">
        <v>80</v>
      </c>
      <c r="D7" s="38"/>
      <c r="E7" s="8">
        <f t="shared" ref="E7:F7" si="0">SUM(E4:E6)</f>
        <v>0</v>
      </c>
      <c r="F7" s="37">
        <f t="shared" si="0"/>
        <v>-26500</v>
      </c>
      <c r="G7" s="10">
        <f>E7+F7</f>
        <v>-26500</v>
      </c>
      <c r="H7" s="34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1"/>
      <c r="D8" s="1"/>
      <c r="E8" s="10"/>
      <c r="F8" s="10"/>
      <c r="G8" s="10"/>
      <c r="H8" s="1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25" t="s">
        <v>102</v>
      </c>
      <c r="D9" s="1"/>
      <c r="E9" s="31">
        <f t="shared" ref="E9:F9" si="1">SUMIFS(E2:E8,$C2:$C8,"Subsubtotal")</f>
        <v>0</v>
      </c>
      <c r="F9" s="31">
        <f t="shared" si="1"/>
        <v>-26500</v>
      </c>
      <c r="G9" s="10">
        <f>SUM(G2:G8)</f>
        <v>-26500</v>
      </c>
      <c r="H9" s="1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1"/>
      <c r="C10" s="1"/>
      <c r="D10" s="1"/>
      <c r="E10" s="10"/>
      <c r="F10" s="10"/>
      <c r="G10" s="10"/>
      <c r="H10" s="1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1"/>
      <c r="C11" s="1"/>
      <c r="D11" s="1"/>
      <c r="E11" s="10"/>
      <c r="F11" s="10"/>
      <c r="G11" s="10"/>
      <c r="H11" s="1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/>
      <c r="D12" s="1"/>
      <c r="E12" s="10"/>
      <c r="F12" s="10"/>
      <c r="G12" s="10"/>
      <c r="H12" s="1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/>
      <c r="D13" s="1"/>
      <c r="E13" s="10"/>
      <c r="F13" s="10"/>
      <c r="G13" s="10"/>
      <c r="H13" s="1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1"/>
      <c r="C14" s="1"/>
      <c r="D14" s="1"/>
      <c r="E14" s="10"/>
      <c r="F14" s="10"/>
      <c r="G14" s="10"/>
      <c r="H14" s="1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/>
      <c r="D15" s="1"/>
      <c r="E15" s="10"/>
      <c r="F15" s="10"/>
      <c r="G15" s="10"/>
      <c r="H15" s="1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1"/>
      <c r="C16" s="1"/>
      <c r="D16" s="1"/>
      <c r="E16" s="10"/>
      <c r="F16" s="10"/>
      <c r="G16" s="10"/>
      <c r="H16" s="1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1"/>
      <c r="D17" s="1"/>
      <c r="E17" s="10"/>
      <c r="F17" s="10"/>
      <c r="G17" s="10"/>
      <c r="H17" s="1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/>
      <c r="D18" s="1"/>
      <c r="E18" s="10"/>
      <c r="F18" s="10"/>
      <c r="G18" s="10"/>
      <c r="H18" s="1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1"/>
      <c r="D19" s="1"/>
      <c r="E19" s="10"/>
      <c r="F19" s="10"/>
      <c r="G19" s="10"/>
      <c r="H19" s="1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1"/>
      <c r="D20" s="1"/>
      <c r="E20" s="10"/>
      <c r="F20" s="10"/>
      <c r="G20" s="10"/>
      <c r="H20" s="1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1"/>
      <c r="C21" s="1"/>
      <c r="D21" s="1"/>
      <c r="E21" s="10"/>
      <c r="F21" s="10"/>
      <c r="G21" s="10"/>
      <c r="H21" s="1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1"/>
      <c r="C22" s="1"/>
      <c r="D22" s="1"/>
      <c r="E22" s="10"/>
      <c r="F22" s="10"/>
      <c r="G22" s="10"/>
      <c r="H22" s="1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1"/>
      <c r="C23" s="1"/>
      <c r="D23" s="1"/>
      <c r="E23" s="10"/>
      <c r="F23" s="10"/>
      <c r="G23" s="10"/>
      <c r="H23" s="1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x14ac:dyDescent="0.2">
      <c r="A24" s="1"/>
      <c r="B24" s="1"/>
      <c r="C24" s="1"/>
      <c r="D24" s="1"/>
      <c r="E24" s="10"/>
      <c r="F24" s="10"/>
      <c r="G24" s="10"/>
      <c r="H24" s="1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1"/>
      <c r="B25" s="1"/>
      <c r="C25" s="1"/>
      <c r="D25" s="1"/>
      <c r="E25" s="10"/>
      <c r="F25" s="10"/>
      <c r="G25" s="10"/>
      <c r="H25" s="1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1"/>
      <c r="B26" s="1"/>
      <c r="C26" s="1"/>
      <c r="D26" s="1"/>
      <c r="E26" s="10"/>
      <c r="F26" s="10"/>
      <c r="G26" s="10"/>
      <c r="H26" s="1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1"/>
      <c r="B27" s="1"/>
      <c r="C27" s="1"/>
      <c r="D27" s="1"/>
      <c r="E27" s="10"/>
      <c r="F27" s="10"/>
      <c r="G27" s="10"/>
      <c r="H27" s="1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" x14ac:dyDescent="0.2">
      <c r="A28" s="1"/>
      <c r="B28" s="1"/>
      <c r="C28" s="1"/>
      <c r="D28" s="1"/>
      <c r="E28" s="10"/>
      <c r="F28" s="10"/>
      <c r="G28" s="10"/>
      <c r="H28" s="1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" x14ac:dyDescent="0.2">
      <c r="A29" s="1"/>
      <c r="B29" s="1"/>
      <c r="C29" s="1"/>
      <c r="D29" s="1"/>
      <c r="E29" s="10"/>
      <c r="F29" s="10"/>
      <c r="G29" s="10"/>
      <c r="H29" s="1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" x14ac:dyDescent="0.2">
      <c r="A30" s="1"/>
      <c r="B30" s="1"/>
      <c r="C30" s="1"/>
      <c r="D30" s="1"/>
      <c r="E30" s="10"/>
      <c r="F30" s="10"/>
      <c r="G30" s="10"/>
      <c r="H30" s="1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" x14ac:dyDescent="0.2">
      <c r="A31" s="1"/>
      <c r="B31" s="1"/>
      <c r="C31" s="1"/>
      <c r="D31" s="1"/>
      <c r="E31" s="10"/>
      <c r="F31" s="10"/>
      <c r="G31" s="10"/>
      <c r="H31" s="1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" x14ac:dyDescent="0.2">
      <c r="A32" s="1"/>
      <c r="B32" s="1"/>
      <c r="C32" s="1"/>
      <c r="D32" s="1"/>
      <c r="E32" s="10"/>
      <c r="F32" s="10"/>
      <c r="G32" s="10"/>
      <c r="H32" s="1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x14ac:dyDescent="0.2">
      <c r="A33" s="1"/>
      <c r="B33" s="1"/>
      <c r="C33" s="1"/>
      <c r="D33" s="1"/>
      <c r="E33" s="10"/>
      <c r="F33" s="10"/>
      <c r="G33" s="10"/>
      <c r="H33" s="1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x14ac:dyDescent="0.2">
      <c r="A34" s="1"/>
      <c r="B34" s="1"/>
      <c r="C34" s="1"/>
      <c r="D34" s="1"/>
      <c r="E34" s="10"/>
      <c r="F34" s="10"/>
      <c r="G34" s="10"/>
      <c r="H34" s="1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x14ac:dyDescent="0.2">
      <c r="A35" s="1"/>
      <c r="B35" s="1"/>
      <c r="C35" s="1"/>
      <c r="D35" s="1"/>
      <c r="E35" s="10"/>
      <c r="F35" s="10"/>
      <c r="G35" s="10"/>
      <c r="H35" s="1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" x14ac:dyDescent="0.2">
      <c r="A36" s="1"/>
      <c r="B36" s="1"/>
      <c r="C36" s="1"/>
      <c r="D36" s="1"/>
      <c r="E36" s="10"/>
      <c r="F36" s="10"/>
      <c r="G36" s="10"/>
      <c r="H36" s="1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" x14ac:dyDescent="0.2">
      <c r="A37" s="1"/>
      <c r="B37" s="1"/>
      <c r="C37" s="1"/>
      <c r="D37" s="1"/>
      <c r="E37" s="10"/>
      <c r="F37" s="10"/>
      <c r="G37" s="10"/>
      <c r="H37" s="1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" x14ac:dyDescent="0.2">
      <c r="A38" s="1"/>
      <c r="B38" s="1"/>
      <c r="C38" s="1"/>
      <c r="D38" s="1"/>
      <c r="E38" s="10"/>
      <c r="F38" s="10"/>
      <c r="G38" s="10"/>
      <c r="H38" s="1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" x14ac:dyDescent="0.2">
      <c r="A39" s="1"/>
      <c r="B39" s="1"/>
      <c r="C39" s="1"/>
      <c r="D39" s="1"/>
      <c r="E39" s="10"/>
      <c r="F39" s="10"/>
      <c r="G39" s="10"/>
      <c r="H39" s="1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" x14ac:dyDescent="0.2">
      <c r="A40" s="1"/>
      <c r="B40" s="1"/>
      <c r="C40" s="1"/>
      <c r="D40" s="1"/>
      <c r="E40" s="10"/>
      <c r="F40" s="10"/>
      <c r="G40" s="10"/>
      <c r="H40" s="1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x14ac:dyDescent="0.2">
      <c r="A41" s="1"/>
      <c r="B41" s="1"/>
      <c r="C41" s="1"/>
      <c r="D41" s="1"/>
      <c r="E41" s="10"/>
      <c r="F41" s="10"/>
      <c r="G41" s="10"/>
      <c r="H41" s="1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x14ac:dyDescent="0.2">
      <c r="A42" s="1"/>
      <c r="B42" s="1"/>
      <c r="C42" s="1"/>
      <c r="D42" s="1"/>
      <c r="E42" s="10"/>
      <c r="F42" s="10"/>
      <c r="G42" s="10"/>
      <c r="H42" s="1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" x14ac:dyDescent="0.2">
      <c r="A43" s="1"/>
      <c r="B43" s="1"/>
      <c r="C43" s="1"/>
      <c r="D43" s="1"/>
      <c r="E43" s="10"/>
      <c r="F43" s="10"/>
      <c r="G43" s="10"/>
      <c r="H43" s="1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" x14ac:dyDescent="0.2">
      <c r="A44" s="1"/>
      <c r="B44" s="1"/>
      <c r="C44" s="1"/>
      <c r="D44" s="1"/>
      <c r="E44" s="10"/>
      <c r="F44" s="10"/>
      <c r="G44" s="10"/>
      <c r="H44" s="1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" x14ac:dyDescent="0.2">
      <c r="A45" s="1"/>
      <c r="B45" s="1"/>
      <c r="C45" s="1"/>
      <c r="D45" s="1"/>
      <c r="E45" s="10"/>
      <c r="F45" s="10"/>
      <c r="G45" s="10"/>
      <c r="H45" s="1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" x14ac:dyDescent="0.2">
      <c r="A46" s="1"/>
      <c r="B46" s="1"/>
      <c r="C46" s="1"/>
      <c r="D46" s="1"/>
      <c r="E46" s="10"/>
      <c r="F46" s="10"/>
      <c r="G46" s="10"/>
      <c r="H46" s="1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" x14ac:dyDescent="0.2">
      <c r="A47" s="1"/>
      <c r="B47" s="1"/>
      <c r="C47" s="1"/>
      <c r="D47" s="1"/>
      <c r="E47" s="10"/>
      <c r="F47" s="10"/>
      <c r="G47" s="10"/>
      <c r="H47" s="1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" x14ac:dyDescent="0.2">
      <c r="A48" s="1"/>
      <c r="B48" s="1"/>
      <c r="C48" s="1"/>
      <c r="D48" s="1"/>
      <c r="E48" s="10"/>
      <c r="F48" s="10"/>
      <c r="G48" s="10"/>
      <c r="H48" s="1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" x14ac:dyDescent="0.2">
      <c r="A49" s="1"/>
      <c r="B49" s="1"/>
      <c r="C49" s="1"/>
      <c r="D49" s="1"/>
      <c r="E49" s="10"/>
      <c r="F49" s="10"/>
      <c r="G49" s="10"/>
      <c r="H49" s="1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" x14ac:dyDescent="0.2">
      <c r="A50" s="1"/>
      <c r="B50" s="1"/>
      <c r="C50" s="1"/>
      <c r="D50" s="1"/>
      <c r="E50" s="10"/>
      <c r="F50" s="10"/>
      <c r="G50" s="10"/>
      <c r="H50" s="1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" x14ac:dyDescent="0.2">
      <c r="A51" s="1"/>
      <c r="B51" s="1"/>
      <c r="C51" s="1"/>
      <c r="D51" s="1"/>
      <c r="E51" s="10"/>
      <c r="F51" s="10"/>
      <c r="G51" s="10"/>
      <c r="H51" s="1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" x14ac:dyDescent="0.2">
      <c r="A52" s="1"/>
      <c r="B52" s="1"/>
      <c r="C52" s="1"/>
      <c r="D52" s="1"/>
      <c r="E52" s="10"/>
      <c r="F52" s="10"/>
      <c r="G52" s="10"/>
      <c r="H52" s="1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" x14ac:dyDescent="0.2">
      <c r="A53" s="1"/>
      <c r="B53" s="1"/>
      <c r="C53" s="1"/>
      <c r="D53" s="1"/>
      <c r="E53" s="10"/>
      <c r="F53" s="10"/>
      <c r="G53" s="10"/>
      <c r="H53" s="1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" x14ac:dyDescent="0.2">
      <c r="A54" s="1"/>
      <c r="B54" s="1"/>
      <c r="C54" s="1"/>
      <c r="D54" s="1"/>
      <c r="E54" s="10"/>
      <c r="F54" s="10"/>
      <c r="G54" s="10"/>
      <c r="H54" s="1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" x14ac:dyDescent="0.2">
      <c r="A55" s="1"/>
      <c r="B55" s="1"/>
      <c r="C55" s="1"/>
      <c r="D55" s="1"/>
      <c r="E55" s="10"/>
      <c r="F55" s="10"/>
      <c r="G55" s="10"/>
      <c r="H55" s="1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" x14ac:dyDescent="0.2">
      <c r="A56" s="1"/>
      <c r="B56" s="1"/>
      <c r="C56" s="1"/>
      <c r="D56" s="1"/>
      <c r="E56" s="10"/>
      <c r="F56" s="10"/>
      <c r="G56" s="10"/>
      <c r="H56" s="1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" x14ac:dyDescent="0.2">
      <c r="A57" s="1"/>
      <c r="B57" s="1"/>
      <c r="C57" s="1"/>
      <c r="D57" s="1"/>
      <c r="E57" s="10"/>
      <c r="F57" s="10"/>
      <c r="G57" s="10"/>
      <c r="H57" s="1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" x14ac:dyDescent="0.2">
      <c r="A58" s="1"/>
      <c r="B58" s="1"/>
      <c r="C58" s="1"/>
      <c r="D58" s="1"/>
      <c r="E58" s="10"/>
      <c r="F58" s="10"/>
      <c r="G58" s="10"/>
      <c r="H58" s="1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" x14ac:dyDescent="0.2">
      <c r="A59" s="1"/>
      <c r="B59" s="1"/>
      <c r="C59" s="1"/>
      <c r="D59" s="1"/>
      <c r="E59" s="10"/>
      <c r="F59" s="10"/>
      <c r="G59" s="10"/>
      <c r="H59" s="1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" x14ac:dyDescent="0.2">
      <c r="A60" s="1"/>
      <c r="B60" s="1"/>
      <c r="C60" s="1"/>
      <c r="D60" s="1"/>
      <c r="E60" s="10"/>
      <c r="F60" s="10"/>
      <c r="G60" s="10"/>
      <c r="H60" s="1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" x14ac:dyDescent="0.2">
      <c r="A61" s="1"/>
      <c r="B61" s="1"/>
      <c r="C61" s="1"/>
      <c r="D61" s="1"/>
      <c r="E61" s="10"/>
      <c r="F61" s="10"/>
      <c r="G61" s="10"/>
      <c r="H61" s="1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" x14ac:dyDescent="0.2">
      <c r="A62" s="1"/>
      <c r="B62" s="1"/>
      <c r="C62" s="1"/>
      <c r="D62" s="1"/>
      <c r="E62" s="10"/>
      <c r="F62" s="10"/>
      <c r="G62" s="10"/>
      <c r="H62" s="1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" x14ac:dyDescent="0.2">
      <c r="A63" s="1"/>
      <c r="B63" s="1"/>
      <c r="C63" s="1"/>
      <c r="D63" s="1"/>
      <c r="E63" s="10"/>
      <c r="F63" s="10"/>
      <c r="G63" s="10"/>
      <c r="H63" s="1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" x14ac:dyDescent="0.2">
      <c r="A64" s="1"/>
      <c r="B64" s="1"/>
      <c r="C64" s="1"/>
      <c r="D64" s="1"/>
      <c r="E64" s="10"/>
      <c r="F64" s="10"/>
      <c r="G64" s="10"/>
      <c r="H64" s="1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" x14ac:dyDescent="0.2">
      <c r="A65" s="1"/>
      <c r="B65" s="1"/>
      <c r="C65" s="1"/>
      <c r="D65" s="1"/>
      <c r="E65" s="10"/>
      <c r="F65" s="10"/>
      <c r="G65" s="10"/>
      <c r="H65" s="1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" x14ac:dyDescent="0.2">
      <c r="A66" s="1"/>
      <c r="B66" s="1"/>
      <c r="C66" s="1"/>
      <c r="D66" s="1"/>
      <c r="E66" s="10"/>
      <c r="F66" s="10"/>
      <c r="G66" s="10"/>
      <c r="H66" s="1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" x14ac:dyDescent="0.2">
      <c r="A67" s="1"/>
      <c r="B67" s="1"/>
      <c r="C67" s="1"/>
      <c r="D67" s="1"/>
      <c r="E67" s="10"/>
      <c r="F67" s="10"/>
      <c r="G67" s="10"/>
      <c r="H67" s="1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" x14ac:dyDescent="0.2">
      <c r="A68" s="1"/>
      <c r="B68" s="1"/>
      <c r="C68" s="1"/>
      <c r="D68" s="1"/>
      <c r="E68" s="10"/>
      <c r="F68" s="10"/>
      <c r="G68" s="10"/>
      <c r="H68" s="1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" x14ac:dyDescent="0.2">
      <c r="A69" s="1"/>
      <c r="B69" s="1"/>
      <c r="C69" s="1"/>
      <c r="D69" s="1"/>
      <c r="E69" s="10"/>
      <c r="F69" s="10"/>
      <c r="G69" s="10"/>
      <c r="H69" s="1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" x14ac:dyDescent="0.15">
      <c r="A70" s="28"/>
      <c r="B70" s="28"/>
      <c r="C70" s="28"/>
      <c r="D70" s="28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" x14ac:dyDescent="0.15">
      <c r="A71" s="28"/>
      <c r="B71" s="28"/>
      <c r="C71" s="28"/>
      <c r="D71" s="28"/>
      <c r="E71" s="29"/>
      <c r="F71" s="29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" x14ac:dyDescent="0.15">
      <c r="A72" s="28"/>
      <c r="B72" s="28"/>
      <c r="C72" s="28"/>
      <c r="D72" s="28"/>
      <c r="E72" s="29"/>
      <c r="F72" s="29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" x14ac:dyDescent="0.15">
      <c r="A73" s="28"/>
      <c r="B73" s="28"/>
      <c r="C73" s="28"/>
      <c r="D73" s="28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" x14ac:dyDescent="0.15">
      <c r="A74" s="28"/>
      <c r="B74" s="28"/>
      <c r="C74" s="28"/>
      <c r="D74" s="28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" x14ac:dyDescent="0.15">
      <c r="A75" s="28"/>
      <c r="B75" s="28"/>
      <c r="C75" s="28"/>
      <c r="D75" s="28"/>
      <c r="E75" s="29"/>
      <c r="F75" s="29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" x14ac:dyDescent="0.15">
      <c r="A76" s="28"/>
      <c r="B76" s="28"/>
      <c r="C76" s="28"/>
      <c r="D76" s="28"/>
      <c r="E76" s="29"/>
      <c r="F76" s="29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" x14ac:dyDescent="0.15">
      <c r="A77" s="28"/>
      <c r="B77" s="28"/>
      <c r="C77" s="28"/>
      <c r="D77" s="28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" x14ac:dyDescent="0.15">
      <c r="A78" s="28"/>
      <c r="B78" s="28"/>
      <c r="C78" s="28"/>
      <c r="D78" s="28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" x14ac:dyDescent="0.15">
      <c r="A79" s="28"/>
      <c r="B79" s="28"/>
      <c r="C79" s="28"/>
      <c r="D79" s="28"/>
      <c r="E79" s="29"/>
      <c r="F79" s="29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" x14ac:dyDescent="0.15">
      <c r="A80" s="28"/>
      <c r="B80" s="28"/>
      <c r="C80" s="28"/>
      <c r="D80" s="28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" x14ac:dyDescent="0.15">
      <c r="A81" s="28"/>
      <c r="B81" s="28"/>
      <c r="C81" s="28"/>
      <c r="D81" s="28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" x14ac:dyDescent="0.15">
      <c r="A82" s="28"/>
      <c r="B82" s="28"/>
      <c r="C82" s="28"/>
      <c r="D82" s="28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" x14ac:dyDescent="0.15">
      <c r="A83" s="28"/>
      <c r="B83" s="28"/>
      <c r="C83" s="28"/>
      <c r="D83" s="28"/>
      <c r="E83" s="29"/>
      <c r="F83" s="29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" x14ac:dyDescent="0.15">
      <c r="A84" s="28"/>
      <c r="B84" s="28"/>
      <c r="C84" s="28"/>
      <c r="D84" s="28"/>
      <c r="E84" s="29"/>
      <c r="F84" s="29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" x14ac:dyDescent="0.15">
      <c r="A85" s="28"/>
      <c r="B85" s="28"/>
      <c r="C85" s="28"/>
      <c r="D85" s="28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" x14ac:dyDescent="0.15">
      <c r="A86" s="28"/>
      <c r="B86" s="28"/>
      <c r="C86" s="28"/>
      <c r="D86" s="28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" x14ac:dyDescent="0.15">
      <c r="A87" s="28"/>
      <c r="B87" s="28"/>
      <c r="C87" s="28"/>
      <c r="D87" s="28"/>
      <c r="E87" s="29"/>
      <c r="F87" s="29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" x14ac:dyDescent="0.15">
      <c r="A88" s="28"/>
      <c r="B88" s="28"/>
      <c r="C88" s="28"/>
      <c r="D88" s="28"/>
      <c r="E88" s="29"/>
      <c r="F88" s="29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" x14ac:dyDescent="0.15">
      <c r="A89" s="28"/>
      <c r="B89" s="28"/>
      <c r="C89" s="28"/>
      <c r="D89" s="28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" x14ac:dyDescent="0.15">
      <c r="A90" s="28"/>
      <c r="B90" s="28"/>
      <c r="C90" s="28"/>
      <c r="D90" s="28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" x14ac:dyDescent="0.15">
      <c r="A91" s="28"/>
      <c r="B91" s="28"/>
      <c r="C91" s="28"/>
      <c r="D91" s="28"/>
      <c r="E91" s="29"/>
      <c r="F91" s="29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x14ac:dyDescent="0.15">
      <c r="A92" s="28"/>
      <c r="B92" s="28"/>
      <c r="C92" s="28"/>
      <c r="D92" s="28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x14ac:dyDescent="0.15">
      <c r="A93" s="28"/>
      <c r="B93" s="28"/>
      <c r="C93" s="28"/>
      <c r="D93" s="28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x14ac:dyDescent="0.15">
      <c r="A94" s="28"/>
      <c r="B94" s="28"/>
      <c r="C94" s="28"/>
      <c r="D94" s="28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x14ac:dyDescent="0.15">
      <c r="A95" s="28"/>
      <c r="B95" s="28"/>
      <c r="C95" s="28"/>
      <c r="D95" s="28"/>
      <c r="E95" s="29"/>
      <c r="F95" s="29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x14ac:dyDescent="0.15">
      <c r="A96" s="28"/>
      <c r="B96" s="28"/>
      <c r="C96" s="28"/>
      <c r="D96" s="28"/>
      <c r="E96" s="29"/>
      <c r="F96" s="29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x14ac:dyDescent="0.15">
      <c r="A97" s="28"/>
      <c r="B97" s="28"/>
      <c r="C97" s="28"/>
      <c r="D97" s="28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x14ac:dyDescent="0.15">
      <c r="A98" s="28"/>
      <c r="B98" s="28"/>
      <c r="C98" s="28"/>
      <c r="D98" s="28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x14ac:dyDescent="0.15">
      <c r="A99" s="28"/>
      <c r="B99" s="28"/>
      <c r="C99" s="28"/>
      <c r="D99" s="28"/>
      <c r="E99" s="29"/>
      <c r="F99" s="29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x14ac:dyDescent="0.15">
      <c r="A100" s="28"/>
      <c r="B100" s="28"/>
      <c r="C100" s="28"/>
      <c r="D100" s="28"/>
      <c r="E100" s="29"/>
      <c r="F100" s="29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x14ac:dyDescent="0.15">
      <c r="A101" s="28"/>
      <c r="B101" s="28"/>
      <c r="C101" s="28"/>
      <c r="D101" s="28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x14ac:dyDescent="0.15">
      <c r="A102" s="28"/>
      <c r="B102" s="28"/>
      <c r="C102" s="28"/>
      <c r="D102" s="28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x14ac:dyDescent="0.15">
      <c r="A103" s="28"/>
      <c r="B103" s="28"/>
      <c r="C103" s="28"/>
      <c r="D103" s="28"/>
      <c r="E103" s="29"/>
      <c r="F103" s="29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x14ac:dyDescent="0.15">
      <c r="A104" s="28"/>
      <c r="B104" s="28"/>
      <c r="C104" s="28"/>
      <c r="D104" s="28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x14ac:dyDescent="0.15">
      <c r="A105" s="28"/>
      <c r="B105" s="28"/>
      <c r="C105" s="28"/>
      <c r="D105" s="28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x14ac:dyDescent="0.15">
      <c r="A106" s="28"/>
      <c r="B106" s="28"/>
      <c r="C106" s="28"/>
      <c r="D106" s="28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x14ac:dyDescent="0.15">
      <c r="A107" s="28"/>
      <c r="B107" s="28"/>
      <c r="C107" s="28"/>
      <c r="D107" s="28"/>
      <c r="E107" s="29"/>
      <c r="F107" s="29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x14ac:dyDescent="0.15">
      <c r="A108" s="28"/>
      <c r="B108" s="28"/>
      <c r="C108" s="28"/>
      <c r="D108" s="28"/>
      <c r="E108" s="29"/>
      <c r="F108" s="29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x14ac:dyDescent="0.15">
      <c r="A109" s="28"/>
      <c r="B109" s="28"/>
      <c r="C109" s="28"/>
      <c r="D109" s="28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x14ac:dyDescent="0.15">
      <c r="A110" s="28"/>
      <c r="B110" s="28"/>
      <c r="C110" s="28"/>
      <c r="D110" s="28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x14ac:dyDescent="0.15">
      <c r="A111" s="28"/>
      <c r="B111" s="28"/>
      <c r="C111" s="28"/>
      <c r="D111" s="28"/>
      <c r="E111" s="29"/>
      <c r="F111" s="29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x14ac:dyDescent="0.15">
      <c r="A112" s="28"/>
      <c r="B112" s="28"/>
      <c r="C112" s="28"/>
      <c r="D112" s="28"/>
      <c r="E112" s="29"/>
      <c r="F112" s="29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x14ac:dyDescent="0.15">
      <c r="A113" s="28"/>
      <c r="B113" s="28"/>
      <c r="C113" s="28"/>
      <c r="D113" s="28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x14ac:dyDescent="0.15">
      <c r="A114" s="28"/>
      <c r="B114" s="28"/>
      <c r="C114" s="28"/>
      <c r="D114" s="28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x14ac:dyDescent="0.15">
      <c r="A115" s="28"/>
      <c r="B115" s="28"/>
      <c r="C115" s="28"/>
      <c r="D115" s="28"/>
      <c r="E115" s="29"/>
      <c r="F115" s="29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x14ac:dyDescent="0.15">
      <c r="A116" s="28"/>
      <c r="B116" s="28"/>
      <c r="C116" s="28"/>
      <c r="D116" s="28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x14ac:dyDescent="0.15">
      <c r="A117" s="28"/>
      <c r="B117" s="28"/>
      <c r="C117" s="28"/>
      <c r="D117" s="28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x14ac:dyDescent="0.15">
      <c r="A118" s="28"/>
      <c r="B118" s="28"/>
      <c r="C118" s="28"/>
      <c r="D118" s="28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x14ac:dyDescent="0.15">
      <c r="A119" s="28"/>
      <c r="B119" s="28"/>
      <c r="C119" s="28"/>
      <c r="D119" s="28"/>
      <c r="E119" s="29"/>
      <c r="F119" s="29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x14ac:dyDescent="0.15">
      <c r="A120" s="28"/>
      <c r="B120" s="28"/>
      <c r="C120" s="28"/>
      <c r="D120" s="28"/>
      <c r="E120" s="29"/>
      <c r="F120" s="29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x14ac:dyDescent="0.15">
      <c r="A121" s="28"/>
      <c r="B121" s="28"/>
      <c r="C121" s="28"/>
      <c r="D121" s="28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x14ac:dyDescent="0.15">
      <c r="A122" s="28"/>
      <c r="B122" s="28"/>
      <c r="C122" s="28"/>
      <c r="D122" s="28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x14ac:dyDescent="0.15">
      <c r="A123" s="28"/>
      <c r="B123" s="28"/>
      <c r="C123" s="28"/>
      <c r="D123" s="28"/>
      <c r="E123" s="29"/>
      <c r="F123" s="29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x14ac:dyDescent="0.15">
      <c r="A124" s="28"/>
      <c r="B124" s="28"/>
      <c r="C124" s="28"/>
      <c r="D124" s="28"/>
      <c r="E124" s="29"/>
      <c r="F124" s="29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x14ac:dyDescent="0.15">
      <c r="A125" s="28"/>
      <c r="B125" s="28"/>
      <c r="C125" s="28"/>
      <c r="D125" s="28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x14ac:dyDescent="0.15">
      <c r="A126" s="28"/>
      <c r="B126" s="28"/>
      <c r="C126" s="28"/>
      <c r="D126" s="28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x14ac:dyDescent="0.15">
      <c r="A127" s="28"/>
      <c r="B127" s="28"/>
      <c r="C127" s="28"/>
      <c r="D127" s="28"/>
      <c r="E127" s="29"/>
      <c r="F127" s="29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x14ac:dyDescent="0.15">
      <c r="A128" s="28"/>
      <c r="B128" s="28"/>
      <c r="C128" s="28"/>
      <c r="D128" s="28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x14ac:dyDescent="0.15">
      <c r="A129" s="28"/>
      <c r="B129" s="28"/>
      <c r="C129" s="28"/>
      <c r="D129" s="28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x14ac:dyDescent="0.15">
      <c r="A130" s="28"/>
      <c r="B130" s="28"/>
      <c r="C130" s="28"/>
      <c r="D130" s="28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x14ac:dyDescent="0.15">
      <c r="A131" s="28"/>
      <c r="B131" s="28"/>
      <c r="C131" s="28"/>
      <c r="D131" s="28"/>
      <c r="E131" s="29"/>
      <c r="F131" s="29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x14ac:dyDescent="0.15">
      <c r="A132" s="28"/>
      <c r="B132" s="28"/>
      <c r="C132" s="28"/>
      <c r="D132" s="28"/>
      <c r="E132" s="29"/>
      <c r="F132" s="29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x14ac:dyDescent="0.15">
      <c r="A133" s="28"/>
      <c r="B133" s="28"/>
      <c r="C133" s="28"/>
      <c r="D133" s="28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x14ac:dyDescent="0.15">
      <c r="A134" s="28"/>
      <c r="B134" s="28"/>
      <c r="C134" s="28"/>
      <c r="D134" s="28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x14ac:dyDescent="0.15">
      <c r="A135" s="28"/>
      <c r="B135" s="28"/>
      <c r="C135" s="28"/>
      <c r="D135" s="28"/>
      <c r="E135" s="29"/>
      <c r="F135" s="29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x14ac:dyDescent="0.15">
      <c r="A136" s="28"/>
      <c r="B136" s="28"/>
      <c r="C136" s="28"/>
      <c r="D136" s="28"/>
      <c r="E136" s="29"/>
      <c r="F136" s="29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x14ac:dyDescent="0.15">
      <c r="A137" s="28"/>
      <c r="B137" s="28"/>
      <c r="C137" s="28"/>
      <c r="D137" s="28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x14ac:dyDescent="0.15">
      <c r="A138" s="28"/>
      <c r="B138" s="28"/>
      <c r="C138" s="28"/>
      <c r="D138" s="28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x14ac:dyDescent="0.15">
      <c r="A139" s="28"/>
      <c r="B139" s="28"/>
      <c r="C139" s="28"/>
      <c r="D139" s="28"/>
      <c r="E139" s="29"/>
      <c r="F139" s="29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x14ac:dyDescent="0.15">
      <c r="A141" s="28"/>
      <c r="B141" s="28"/>
      <c r="C141" s="28"/>
      <c r="D141" s="28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x14ac:dyDescent="0.15">
      <c r="A144" s="28"/>
      <c r="B144" s="28"/>
      <c r="C144" s="28"/>
      <c r="D144" s="28"/>
      <c r="E144" s="29"/>
      <c r="F144" s="29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x14ac:dyDescent="0.15">
      <c r="A145" s="28"/>
      <c r="B145" s="28"/>
      <c r="C145" s="28"/>
      <c r="D145" s="28"/>
      <c r="E145" s="29"/>
      <c r="F145" s="29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x14ac:dyDescent="0.15">
      <c r="A146" s="28"/>
      <c r="B146" s="28"/>
      <c r="C146" s="28"/>
      <c r="D146" s="28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x14ac:dyDescent="0.15">
      <c r="A147" s="28"/>
      <c r="B147" s="28"/>
      <c r="C147" s="28"/>
      <c r="D147" s="28"/>
      <c r="E147" s="29"/>
      <c r="F147" s="29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x14ac:dyDescent="0.15">
      <c r="A148" s="28"/>
      <c r="B148" s="28"/>
      <c r="C148" s="28"/>
      <c r="D148" s="28"/>
      <c r="E148" s="29"/>
      <c r="F148" s="29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x14ac:dyDescent="0.15">
      <c r="A149" s="28"/>
      <c r="B149" s="28"/>
      <c r="C149" s="28"/>
      <c r="D149" s="28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x14ac:dyDescent="0.15">
      <c r="A150" s="28"/>
      <c r="B150" s="28"/>
      <c r="C150" s="28"/>
      <c r="D150" s="28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x14ac:dyDescent="0.15">
      <c r="A151" s="28"/>
      <c r="B151" s="28"/>
      <c r="C151" s="28"/>
      <c r="D151" s="28"/>
      <c r="E151" s="29"/>
      <c r="F151" s="29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x14ac:dyDescent="0.15">
      <c r="A152" s="28"/>
      <c r="B152" s="28"/>
      <c r="C152" s="28"/>
      <c r="D152" s="28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x14ac:dyDescent="0.15">
      <c r="A153" s="28"/>
      <c r="B153" s="28"/>
      <c r="C153" s="28"/>
      <c r="D153" s="28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x14ac:dyDescent="0.15">
      <c r="A154" s="28"/>
      <c r="B154" s="28"/>
      <c r="C154" s="28"/>
      <c r="D154" s="28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x14ac:dyDescent="0.15">
      <c r="A155" s="28"/>
      <c r="B155" s="28"/>
      <c r="C155" s="28"/>
      <c r="D155" s="28"/>
      <c r="E155" s="29"/>
      <c r="F155" s="29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x14ac:dyDescent="0.15">
      <c r="A156" s="28"/>
      <c r="B156" s="28"/>
      <c r="C156" s="28"/>
      <c r="D156" s="28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x14ac:dyDescent="0.15">
      <c r="A157" s="28"/>
      <c r="B157" s="28"/>
      <c r="C157" s="28"/>
      <c r="D157" s="28"/>
      <c r="E157" s="29"/>
      <c r="F157" s="29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x14ac:dyDescent="0.15">
      <c r="A158" s="28"/>
      <c r="B158" s="28"/>
      <c r="C158" s="28"/>
      <c r="D158" s="28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x14ac:dyDescent="0.15">
      <c r="A159" s="28"/>
      <c r="B159" s="28"/>
      <c r="C159" s="28"/>
      <c r="D159" s="28"/>
      <c r="E159" s="29"/>
      <c r="F159" s="29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x14ac:dyDescent="0.15">
      <c r="A160" s="28"/>
      <c r="B160" s="28"/>
      <c r="C160" s="28"/>
      <c r="D160" s="28"/>
      <c r="E160" s="29"/>
      <c r="F160" s="29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x14ac:dyDescent="0.15">
      <c r="A161" s="28"/>
      <c r="B161" s="28"/>
      <c r="C161" s="28"/>
      <c r="D161" s="28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x14ac:dyDescent="0.15">
      <c r="A162" s="28"/>
      <c r="B162" s="28"/>
      <c r="C162" s="28"/>
      <c r="D162" s="28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x14ac:dyDescent="0.15">
      <c r="A163" s="28"/>
      <c r="B163" s="28"/>
      <c r="C163" s="28"/>
      <c r="D163" s="28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x14ac:dyDescent="0.15">
      <c r="A164" s="28"/>
      <c r="B164" s="28"/>
      <c r="C164" s="28"/>
      <c r="D164" s="28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x14ac:dyDescent="0.15">
      <c r="A165" s="28"/>
      <c r="B165" s="28"/>
      <c r="C165" s="28"/>
      <c r="D165" s="28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x14ac:dyDescent="0.15">
      <c r="A166" s="28"/>
      <c r="B166" s="28"/>
      <c r="C166" s="28"/>
      <c r="D166" s="28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x14ac:dyDescent="0.15">
      <c r="A167" s="28"/>
      <c r="B167" s="28"/>
      <c r="C167" s="28"/>
      <c r="D167" s="28"/>
      <c r="E167" s="29"/>
      <c r="F167" s="29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x14ac:dyDescent="0.15">
      <c r="A168" s="28"/>
      <c r="B168" s="28"/>
      <c r="C168" s="28"/>
      <c r="D168" s="28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x14ac:dyDescent="0.15">
      <c r="A169" s="28"/>
      <c r="B169" s="28"/>
      <c r="C169" s="28"/>
      <c r="D169" s="28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x14ac:dyDescent="0.15">
      <c r="A170" s="28"/>
      <c r="B170" s="28"/>
      <c r="C170" s="28"/>
      <c r="D170" s="28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x14ac:dyDescent="0.15">
      <c r="A171" s="28"/>
      <c r="B171" s="28"/>
      <c r="C171" s="28"/>
      <c r="D171" s="28"/>
      <c r="E171" s="29"/>
      <c r="F171" s="29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x14ac:dyDescent="0.15">
      <c r="A172" s="28"/>
      <c r="B172" s="28"/>
      <c r="C172" s="28"/>
      <c r="D172" s="28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x14ac:dyDescent="0.15">
      <c r="A173" s="28"/>
      <c r="B173" s="28"/>
      <c r="C173" s="28"/>
      <c r="D173" s="28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x14ac:dyDescent="0.15">
      <c r="A174" s="28"/>
      <c r="B174" s="28"/>
      <c r="C174" s="28"/>
      <c r="D174" s="28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x14ac:dyDescent="0.15">
      <c r="A175" s="28"/>
      <c r="B175" s="28"/>
      <c r="C175" s="28"/>
      <c r="D175" s="28"/>
      <c r="E175" s="29"/>
      <c r="F175" s="29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x14ac:dyDescent="0.15">
      <c r="A176" s="28"/>
      <c r="B176" s="28"/>
      <c r="C176" s="28"/>
      <c r="D176" s="28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x14ac:dyDescent="0.15">
      <c r="A177" s="28"/>
      <c r="B177" s="28"/>
      <c r="C177" s="28"/>
      <c r="D177" s="28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x14ac:dyDescent="0.15">
      <c r="A178" s="28"/>
      <c r="B178" s="28"/>
      <c r="C178" s="28"/>
      <c r="D178" s="28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4" x14ac:dyDescent="0.2">
      <c r="A215" s="28"/>
      <c r="B215" s="28"/>
      <c r="C215" s="28"/>
      <c r="D215" s="28"/>
      <c r="E215" s="10"/>
      <c r="F215" s="10"/>
      <c r="G215" s="10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4" x14ac:dyDescent="0.2">
      <c r="A216" s="28"/>
      <c r="B216" s="28"/>
      <c r="C216" s="28"/>
      <c r="D216" s="28"/>
      <c r="E216" s="10"/>
      <c r="F216" s="10"/>
      <c r="G216" s="10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4" x14ac:dyDescent="0.2">
      <c r="A217" s="28"/>
      <c r="B217" s="28"/>
      <c r="C217" s="28"/>
      <c r="D217" s="28"/>
      <c r="E217" s="10"/>
      <c r="F217" s="10"/>
      <c r="G217" s="10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4" x14ac:dyDescent="0.2">
      <c r="A218" s="28"/>
      <c r="B218" s="28"/>
      <c r="C218" s="28"/>
      <c r="D218" s="28"/>
      <c r="E218" s="10"/>
      <c r="F218" s="10"/>
      <c r="G218" s="10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4" x14ac:dyDescent="0.2">
      <c r="A219" s="28"/>
      <c r="B219" s="28"/>
      <c r="C219" s="28"/>
      <c r="D219" s="28"/>
      <c r="E219" s="10"/>
      <c r="F219" s="10"/>
      <c r="G219" s="10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4" x14ac:dyDescent="0.2">
      <c r="A220" s="28"/>
      <c r="B220" s="28"/>
      <c r="C220" s="28"/>
      <c r="D220" s="28"/>
      <c r="E220" s="10"/>
      <c r="F220" s="10"/>
      <c r="G220" s="10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4" x14ac:dyDescent="0.2">
      <c r="A221" s="28"/>
      <c r="B221" s="28"/>
      <c r="C221" s="28"/>
      <c r="D221" s="28"/>
      <c r="E221" s="10"/>
      <c r="F221" s="10"/>
      <c r="G221" s="10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4" x14ac:dyDescent="0.2">
      <c r="A222" s="28"/>
      <c r="B222" s="28"/>
      <c r="C222" s="28"/>
      <c r="D222" s="28"/>
      <c r="E222" s="10"/>
      <c r="F222" s="10"/>
      <c r="G222" s="10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4" x14ac:dyDescent="0.2">
      <c r="A223" s="28"/>
      <c r="B223" s="28"/>
      <c r="C223" s="28"/>
      <c r="D223" s="28"/>
      <c r="E223" s="10"/>
      <c r="F223" s="10"/>
      <c r="G223" s="10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4" x14ac:dyDescent="0.2">
      <c r="A224" s="28"/>
      <c r="B224" s="28"/>
      <c r="C224" s="28"/>
      <c r="D224" s="28"/>
      <c r="E224" s="10"/>
      <c r="F224" s="10"/>
      <c r="G224" s="10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4" x14ac:dyDescent="0.2">
      <c r="A225" s="28"/>
      <c r="B225" s="28"/>
      <c r="C225" s="28"/>
      <c r="D225" s="28"/>
      <c r="E225" s="10"/>
      <c r="F225" s="10"/>
      <c r="G225" s="10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4" x14ac:dyDescent="0.2">
      <c r="A226" s="28"/>
      <c r="B226" s="28"/>
      <c r="C226" s="28"/>
      <c r="D226" s="28"/>
      <c r="E226" s="10"/>
      <c r="F226" s="10"/>
      <c r="G226" s="10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4" x14ac:dyDescent="0.2">
      <c r="A227" s="28"/>
      <c r="B227" s="28"/>
      <c r="C227" s="28"/>
      <c r="D227" s="28"/>
      <c r="E227" s="10"/>
      <c r="F227" s="10"/>
      <c r="G227" s="10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4" x14ac:dyDescent="0.2">
      <c r="A228" s="28"/>
      <c r="B228" s="28"/>
      <c r="C228" s="28"/>
      <c r="D228" s="28"/>
      <c r="E228" s="10"/>
      <c r="F228" s="10"/>
      <c r="G228" s="10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4" x14ac:dyDescent="0.2">
      <c r="A229" s="28"/>
      <c r="B229" s="28"/>
      <c r="C229" s="28"/>
      <c r="D229" s="28"/>
      <c r="E229" s="10"/>
      <c r="F229" s="10"/>
      <c r="G229" s="10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4" x14ac:dyDescent="0.2">
      <c r="A230" s="28"/>
      <c r="B230" s="28"/>
      <c r="C230" s="28"/>
      <c r="D230" s="28"/>
      <c r="E230" s="10"/>
      <c r="F230" s="10"/>
      <c r="G230" s="10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4" x14ac:dyDescent="0.2">
      <c r="A231" s="28"/>
      <c r="B231" s="28"/>
      <c r="C231" s="28"/>
      <c r="D231" s="28"/>
      <c r="E231" s="10"/>
      <c r="F231" s="10"/>
      <c r="G231" s="10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4" x14ac:dyDescent="0.2">
      <c r="A232" s="28"/>
      <c r="B232" s="28"/>
      <c r="C232" s="28"/>
      <c r="D232" s="28"/>
      <c r="E232" s="10"/>
      <c r="F232" s="10"/>
      <c r="G232" s="10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4" x14ac:dyDescent="0.2">
      <c r="A233" s="28"/>
      <c r="B233" s="28"/>
      <c r="C233" s="28"/>
      <c r="D233" s="28"/>
      <c r="E233" s="10"/>
      <c r="F233" s="10"/>
      <c r="G233" s="10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4" x14ac:dyDescent="0.2">
      <c r="A234" s="28"/>
      <c r="B234" s="28"/>
      <c r="C234" s="28"/>
      <c r="D234" s="28"/>
      <c r="E234" s="10"/>
      <c r="F234" s="10"/>
      <c r="G234" s="10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4" x14ac:dyDescent="0.2">
      <c r="A235" s="28"/>
      <c r="B235" s="28"/>
      <c r="C235" s="28"/>
      <c r="D235" s="28"/>
      <c r="E235" s="10"/>
      <c r="F235" s="10"/>
      <c r="G235" s="10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4" x14ac:dyDescent="0.2">
      <c r="A236" s="28"/>
      <c r="B236" s="28"/>
      <c r="C236" s="28"/>
      <c r="D236" s="28"/>
      <c r="E236" s="10"/>
      <c r="F236" s="10"/>
      <c r="G236" s="10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4" x14ac:dyDescent="0.2">
      <c r="A237" s="28"/>
      <c r="B237" s="28"/>
      <c r="C237" s="28"/>
      <c r="D237" s="28"/>
      <c r="E237" s="10"/>
      <c r="F237" s="10"/>
      <c r="G237" s="10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4" x14ac:dyDescent="0.2">
      <c r="A238" s="28"/>
      <c r="B238" s="28"/>
      <c r="C238" s="28"/>
      <c r="D238" s="28"/>
      <c r="E238" s="10"/>
      <c r="F238" s="10"/>
      <c r="G238" s="10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4" x14ac:dyDescent="0.2">
      <c r="A239" s="28"/>
      <c r="B239" s="28"/>
      <c r="C239" s="28"/>
      <c r="D239" s="28"/>
      <c r="E239" s="10"/>
      <c r="F239" s="10"/>
      <c r="G239" s="10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4" x14ac:dyDescent="0.2">
      <c r="A240" s="28"/>
      <c r="B240" s="28"/>
      <c r="C240" s="28"/>
      <c r="D240" s="28"/>
      <c r="E240" s="10"/>
      <c r="F240" s="10"/>
      <c r="G240" s="10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4" x14ac:dyDescent="0.2">
      <c r="A241" s="28"/>
      <c r="B241" s="28"/>
      <c r="C241" s="28"/>
      <c r="D241" s="28"/>
      <c r="E241" s="10"/>
      <c r="F241" s="10"/>
      <c r="G241" s="10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4" x14ac:dyDescent="0.2">
      <c r="A242" s="28"/>
      <c r="B242" s="28"/>
      <c r="C242" s="28"/>
      <c r="D242" s="28"/>
      <c r="E242" s="10"/>
      <c r="F242" s="10"/>
      <c r="G242" s="10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4" x14ac:dyDescent="0.2">
      <c r="A243" s="28"/>
      <c r="B243" s="28"/>
      <c r="C243" s="28"/>
      <c r="D243" s="28"/>
      <c r="E243" s="10"/>
      <c r="F243" s="10"/>
      <c r="G243" s="10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4" x14ac:dyDescent="0.2">
      <c r="A244" s="28"/>
      <c r="B244" s="28"/>
      <c r="C244" s="28"/>
      <c r="D244" s="28"/>
      <c r="E244" s="10"/>
      <c r="F244" s="10"/>
      <c r="G244" s="10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4" x14ac:dyDescent="0.2">
      <c r="A245" s="28"/>
      <c r="B245" s="28"/>
      <c r="C245" s="28"/>
      <c r="D245" s="28"/>
      <c r="E245" s="10"/>
      <c r="F245" s="10"/>
      <c r="G245" s="10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4" x14ac:dyDescent="0.2">
      <c r="A246" s="28"/>
      <c r="B246" s="28"/>
      <c r="C246" s="28"/>
      <c r="D246" s="28"/>
      <c r="E246" s="10"/>
      <c r="F246" s="10"/>
      <c r="G246" s="10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4" x14ac:dyDescent="0.2">
      <c r="A247" s="28"/>
      <c r="B247" s="28"/>
      <c r="C247" s="28"/>
      <c r="D247" s="28"/>
      <c r="E247" s="10"/>
      <c r="F247" s="10"/>
      <c r="G247" s="10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4" x14ac:dyDescent="0.2">
      <c r="A248" s="28"/>
      <c r="B248" s="28"/>
      <c r="C248" s="28"/>
      <c r="D248" s="28"/>
      <c r="E248" s="10"/>
      <c r="F248" s="10"/>
      <c r="G248" s="10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4" x14ac:dyDescent="0.2">
      <c r="A249" s="28"/>
      <c r="B249" s="28"/>
      <c r="C249" s="28"/>
      <c r="D249" s="28"/>
      <c r="E249" s="10"/>
      <c r="F249" s="10"/>
      <c r="G249" s="10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x14ac:dyDescent="0.15">
      <c r="A250" s="28"/>
      <c r="B250" s="28"/>
      <c r="C250" s="28"/>
      <c r="D250" s="28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x14ac:dyDescent="0.15">
      <c r="A251" s="28"/>
      <c r="B251" s="28"/>
      <c r="C251" s="28"/>
      <c r="D251" s="28"/>
      <c r="E251" s="29"/>
      <c r="F251" s="29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x14ac:dyDescent="0.15">
      <c r="A252" s="28"/>
      <c r="B252" s="28"/>
      <c r="C252" s="28"/>
      <c r="D252" s="28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x14ac:dyDescent="0.15">
      <c r="A253" s="28"/>
      <c r="B253" s="28"/>
      <c r="C253" s="28"/>
      <c r="D253" s="28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x14ac:dyDescent="0.15">
      <c r="A254" s="28"/>
      <c r="B254" s="28"/>
      <c r="C254" s="28"/>
      <c r="D254" s="28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x14ac:dyDescent="0.15">
      <c r="A255" s="28"/>
      <c r="B255" s="28"/>
      <c r="C255" s="28"/>
      <c r="D255" s="28"/>
      <c r="E255" s="29"/>
      <c r="F255" s="29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x14ac:dyDescent="0.15">
      <c r="A256" s="28"/>
      <c r="B256" s="28"/>
      <c r="C256" s="28"/>
      <c r="D256" s="28"/>
      <c r="E256" s="29"/>
      <c r="F256" s="29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x14ac:dyDescent="0.15">
      <c r="A257" s="28"/>
      <c r="B257" s="28"/>
      <c r="C257" s="28"/>
      <c r="D257" s="28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x14ac:dyDescent="0.15">
      <c r="A258" s="28"/>
      <c r="B258" s="28"/>
      <c r="C258" s="28"/>
      <c r="D258" s="28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x14ac:dyDescent="0.15">
      <c r="A259" s="28"/>
      <c r="B259" s="28"/>
      <c r="C259" s="28"/>
      <c r="D259" s="28"/>
      <c r="E259" s="29"/>
      <c r="F259" s="29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x14ac:dyDescent="0.15">
      <c r="A260" s="28"/>
      <c r="B260" s="28"/>
      <c r="C260" s="28"/>
      <c r="D260" s="28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x14ac:dyDescent="0.15">
      <c r="A261" s="28"/>
      <c r="B261" s="28"/>
      <c r="C261" s="28"/>
      <c r="D261" s="28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x14ac:dyDescent="0.15">
      <c r="A262" s="28"/>
      <c r="B262" s="28"/>
      <c r="C262" s="28"/>
      <c r="D262" s="28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x14ac:dyDescent="0.15">
      <c r="A263" s="28"/>
      <c r="B263" s="28"/>
      <c r="C263" s="28"/>
      <c r="D263" s="28"/>
      <c r="E263" s="29"/>
      <c r="F263" s="29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x14ac:dyDescent="0.15">
      <c r="A264" s="28"/>
      <c r="B264" s="28"/>
      <c r="C264" s="28"/>
      <c r="D264" s="28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x14ac:dyDescent="0.15">
      <c r="A265" s="28"/>
      <c r="B265" s="28"/>
      <c r="C265" s="28"/>
      <c r="D265" s="28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x14ac:dyDescent="0.15">
      <c r="A266" s="28"/>
      <c r="B266" s="28"/>
      <c r="C266" s="28"/>
      <c r="D266" s="28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x14ac:dyDescent="0.15">
      <c r="A267" s="28"/>
      <c r="B267" s="28"/>
      <c r="C267" s="28"/>
      <c r="D267" s="28"/>
      <c r="E267" s="29"/>
      <c r="F267" s="29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x14ac:dyDescent="0.15">
      <c r="A268" s="28"/>
      <c r="B268" s="28"/>
      <c r="C268" s="28"/>
      <c r="D268" s="28"/>
      <c r="E268" s="29"/>
      <c r="F268" s="29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x14ac:dyDescent="0.15">
      <c r="A269" s="28"/>
      <c r="B269" s="28"/>
      <c r="C269" s="28"/>
      <c r="D269" s="28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x14ac:dyDescent="0.15">
      <c r="A270" s="28"/>
      <c r="B270" s="28"/>
      <c r="C270" s="28"/>
      <c r="D270" s="28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x14ac:dyDescent="0.15">
      <c r="A271" s="28"/>
      <c r="B271" s="28"/>
      <c r="C271" s="28"/>
      <c r="D271" s="28"/>
      <c r="E271" s="29"/>
      <c r="F271" s="29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x14ac:dyDescent="0.15">
      <c r="A286" s="28"/>
      <c r="B286" s="28"/>
      <c r="C286" s="28"/>
      <c r="D286" s="28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x14ac:dyDescent="0.15">
      <c r="A287" s="28"/>
      <c r="B287" s="28"/>
      <c r="C287" s="28"/>
      <c r="D287" s="28"/>
      <c r="E287" s="29"/>
      <c r="F287" s="29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x14ac:dyDescent="0.15">
      <c r="A288" s="28"/>
      <c r="B288" s="28"/>
      <c r="C288" s="28"/>
      <c r="D288" s="28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x14ac:dyDescent="0.15">
      <c r="A289" s="28"/>
      <c r="B289" s="28"/>
      <c r="C289" s="28"/>
      <c r="D289" s="28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x14ac:dyDescent="0.15">
      <c r="A290" s="28"/>
      <c r="B290" s="28"/>
      <c r="C290" s="28"/>
      <c r="D290" s="28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x14ac:dyDescent="0.15">
      <c r="A291" s="28"/>
      <c r="B291" s="28"/>
      <c r="C291" s="28"/>
      <c r="D291" s="28"/>
      <c r="E291" s="29"/>
      <c r="F291" s="29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x14ac:dyDescent="0.15">
      <c r="A292" s="28"/>
      <c r="B292" s="28"/>
      <c r="C292" s="28"/>
      <c r="D292" s="28"/>
      <c r="E292" s="29"/>
      <c r="F292" s="29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x14ac:dyDescent="0.15">
      <c r="A293" s="28"/>
      <c r="B293" s="28"/>
      <c r="C293" s="28"/>
      <c r="D293" s="28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x14ac:dyDescent="0.15">
      <c r="A294" s="28"/>
      <c r="B294" s="28"/>
      <c r="C294" s="28"/>
      <c r="D294" s="28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x14ac:dyDescent="0.15">
      <c r="A295" s="28"/>
      <c r="B295" s="28"/>
      <c r="C295" s="28"/>
      <c r="D295" s="28"/>
      <c r="E295" s="29"/>
      <c r="F295" s="29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x14ac:dyDescent="0.15">
      <c r="A296" s="28"/>
      <c r="B296" s="28"/>
      <c r="C296" s="28"/>
      <c r="D296" s="28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x14ac:dyDescent="0.15">
      <c r="A297" s="28"/>
      <c r="B297" s="28"/>
      <c r="C297" s="28"/>
      <c r="D297" s="28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x14ac:dyDescent="0.15">
      <c r="A298" s="28"/>
      <c r="B298" s="28"/>
      <c r="C298" s="28"/>
      <c r="D298" s="28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x14ac:dyDescent="0.15">
      <c r="A299" s="28"/>
      <c r="B299" s="28"/>
      <c r="C299" s="28"/>
      <c r="D299" s="28"/>
      <c r="E299" s="29"/>
      <c r="F299" s="29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x14ac:dyDescent="0.15">
      <c r="A300" s="28"/>
      <c r="B300" s="28"/>
      <c r="C300" s="28"/>
      <c r="D300" s="28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x14ac:dyDescent="0.15">
      <c r="A301" s="28"/>
      <c r="B301" s="28"/>
      <c r="C301" s="28"/>
      <c r="D301" s="28"/>
      <c r="E301" s="29"/>
      <c r="F301" s="29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x14ac:dyDescent="0.15">
      <c r="A302" s="28"/>
      <c r="B302" s="28"/>
      <c r="C302" s="28"/>
      <c r="D302" s="28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x14ac:dyDescent="0.15">
      <c r="A303" s="28"/>
      <c r="B303" s="28"/>
      <c r="C303" s="28"/>
      <c r="D303" s="28"/>
      <c r="E303" s="29"/>
      <c r="F303" s="29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x14ac:dyDescent="0.15">
      <c r="A304" s="28"/>
      <c r="B304" s="28"/>
      <c r="C304" s="28"/>
      <c r="D304" s="28"/>
      <c r="E304" s="29"/>
      <c r="F304" s="29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x14ac:dyDescent="0.15">
      <c r="A305" s="28"/>
      <c r="B305" s="28"/>
      <c r="C305" s="28"/>
      <c r="D305" s="28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x14ac:dyDescent="0.15">
      <c r="A306" s="28"/>
      <c r="B306" s="28"/>
      <c r="C306" s="28"/>
      <c r="D306" s="28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x14ac:dyDescent="0.15">
      <c r="A307" s="28"/>
      <c r="B307" s="28"/>
      <c r="C307" s="28"/>
      <c r="D307" s="28"/>
      <c r="E307" s="29"/>
      <c r="F307" s="29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x14ac:dyDescent="0.15">
      <c r="A308" s="28"/>
      <c r="B308" s="28"/>
      <c r="C308" s="28"/>
      <c r="D308" s="28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x14ac:dyDescent="0.15">
      <c r="A309" s="28"/>
      <c r="B309" s="28"/>
      <c r="C309" s="28"/>
      <c r="D309" s="28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x14ac:dyDescent="0.15">
      <c r="A310" s="28"/>
      <c r="B310" s="28"/>
      <c r="C310" s="28"/>
      <c r="D310" s="28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x14ac:dyDescent="0.15">
      <c r="A311" s="28"/>
      <c r="B311" s="28"/>
      <c r="C311" s="28"/>
      <c r="D311" s="28"/>
      <c r="E311" s="29"/>
      <c r="F311" s="29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x14ac:dyDescent="0.15">
      <c r="A312" s="28"/>
      <c r="B312" s="28"/>
      <c r="C312" s="28"/>
      <c r="D312" s="28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x14ac:dyDescent="0.15">
      <c r="A313" s="28"/>
      <c r="B313" s="28"/>
      <c r="C313" s="28"/>
      <c r="D313" s="28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x14ac:dyDescent="0.15">
      <c r="A314" s="28"/>
      <c r="B314" s="28"/>
      <c r="C314" s="28"/>
      <c r="D314" s="28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x14ac:dyDescent="0.15">
      <c r="A315" s="28"/>
      <c r="B315" s="28"/>
      <c r="C315" s="28"/>
      <c r="D315" s="28"/>
      <c r="E315" s="29"/>
      <c r="F315" s="29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x14ac:dyDescent="0.15">
      <c r="A316" s="28"/>
      <c r="B316" s="28"/>
      <c r="C316" s="28"/>
      <c r="D316" s="28"/>
      <c r="E316" s="29"/>
      <c r="F316" s="29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x14ac:dyDescent="0.15">
      <c r="A317" s="28"/>
      <c r="B317" s="28"/>
      <c r="C317" s="28"/>
      <c r="D317" s="28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x14ac:dyDescent="0.15">
      <c r="A318" s="28"/>
      <c r="B318" s="28"/>
      <c r="C318" s="28"/>
      <c r="D318" s="28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x14ac:dyDescent="0.15">
      <c r="A319" s="28"/>
      <c r="B319" s="28"/>
      <c r="C319" s="28"/>
      <c r="D319" s="28"/>
      <c r="E319" s="29"/>
      <c r="F319" s="29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x14ac:dyDescent="0.15">
      <c r="A320" s="28"/>
      <c r="B320" s="28"/>
      <c r="C320" s="28"/>
      <c r="D320" s="28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x14ac:dyDescent="0.15">
      <c r="A724" s="28"/>
      <c r="B724" s="28"/>
      <c r="C724" s="28"/>
      <c r="D724" s="28"/>
      <c r="E724" s="29"/>
      <c r="F724" s="29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x14ac:dyDescent="0.15">
      <c r="A725" s="28"/>
      <c r="B725" s="28"/>
      <c r="C725" s="28"/>
      <c r="D725" s="28"/>
      <c r="E725" s="29"/>
      <c r="F725" s="29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x14ac:dyDescent="0.15">
      <c r="A726" s="28"/>
      <c r="B726" s="28"/>
      <c r="C726" s="28"/>
      <c r="D726" s="28"/>
      <c r="E726" s="29"/>
      <c r="F726" s="29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x14ac:dyDescent="0.15">
      <c r="A727" s="28"/>
      <c r="B727" s="28"/>
      <c r="C727" s="28"/>
      <c r="D727" s="28"/>
      <c r="E727" s="29"/>
      <c r="F727" s="29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x14ac:dyDescent="0.15">
      <c r="A728" s="28"/>
      <c r="B728" s="28"/>
      <c r="C728" s="28"/>
      <c r="D728" s="28"/>
      <c r="E728" s="29"/>
      <c r="F728" s="29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" x14ac:dyDescent="0.15">
      <c r="A729" s="28"/>
      <c r="B729" s="28"/>
      <c r="C729" s="28"/>
      <c r="D729" s="28"/>
      <c r="E729" s="29"/>
      <c r="F729" s="29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" x14ac:dyDescent="0.15">
      <c r="A730" s="28"/>
      <c r="B730" s="28"/>
      <c r="C730" s="28"/>
      <c r="D730" s="28"/>
      <c r="E730" s="29"/>
      <c r="F730" s="29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" x14ac:dyDescent="0.15">
      <c r="A731" s="28"/>
      <c r="B731" s="28"/>
      <c r="C731" s="28"/>
      <c r="D731" s="28"/>
      <c r="E731" s="29"/>
      <c r="F731" s="29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" x14ac:dyDescent="0.15">
      <c r="A732" s="28"/>
      <c r="B732" s="28"/>
      <c r="C732" s="28"/>
      <c r="D732" s="28"/>
      <c r="E732" s="29"/>
      <c r="F732" s="29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" x14ac:dyDescent="0.15">
      <c r="A733" s="28"/>
      <c r="B733" s="28"/>
      <c r="C733" s="28"/>
      <c r="D733" s="28"/>
      <c r="E733" s="29"/>
      <c r="F733" s="29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" x14ac:dyDescent="0.15">
      <c r="A734" s="28"/>
      <c r="B734" s="28"/>
      <c r="C734" s="28"/>
      <c r="D734" s="28"/>
      <c r="E734" s="29"/>
      <c r="F734" s="29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" x14ac:dyDescent="0.15">
      <c r="A735" s="28"/>
      <c r="B735" s="28"/>
      <c r="C735" s="28"/>
      <c r="D735" s="28"/>
      <c r="E735" s="29"/>
      <c r="F735" s="29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" x14ac:dyDescent="0.15">
      <c r="A736" s="28"/>
      <c r="B736" s="28"/>
      <c r="C736" s="28"/>
      <c r="D736" s="28"/>
      <c r="E736" s="29"/>
      <c r="F736" s="29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" x14ac:dyDescent="0.15">
      <c r="A737" s="28"/>
      <c r="B737" s="28"/>
      <c r="C737" s="28"/>
      <c r="D737" s="28"/>
      <c r="E737" s="29"/>
      <c r="F737" s="29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" x14ac:dyDescent="0.15">
      <c r="A738" s="28"/>
      <c r="B738" s="28"/>
      <c r="C738" s="28"/>
      <c r="D738" s="28"/>
      <c r="E738" s="29"/>
      <c r="F738" s="29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" x14ac:dyDescent="0.15">
      <c r="A739" s="28"/>
      <c r="B739" s="28"/>
      <c r="C739" s="28"/>
      <c r="D739" s="28"/>
      <c r="E739" s="29"/>
      <c r="F739" s="29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" x14ac:dyDescent="0.15">
      <c r="A740" s="28"/>
      <c r="B740" s="28"/>
      <c r="C740" s="28"/>
      <c r="D740" s="28"/>
      <c r="E740" s="29"/>
      <c r="F740" s="29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" x14ac:dyDescent="0.15">
      <c r="A741" s="28"/>
      <c r="B741" s="28"/>
      <c r="C741" s="28"/>
      <c r="D741" s="28"/>
      <c r="E741" s="29"/>
      <c r="F741" s="29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" x14ac:dyDescent="0.15">
      <c r="A742" s="28"/>
      <c r="B742" s="28"/>
      <c r="C742" s="28"/>
      <c r="D742" s="28"/>
      <c r="E742" s="29"/>
      <c r="F742" s="29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" x14ac:dyDescent="0.15">
      <c r="A743" s="28"/>
      <c r="B743" s="28"/>
      <c r="C743" s="28"/>
      <c r="D743" s="28"/>
      <c r="E743" s="29"/>
      <c r="F743" s="29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" x14ac:dyDescent="0.15">
      <c r="A744" s="28"/>
      <c r="B744" s="28"/>
      <c r="C744" s="28"/>
      <c r="D744" s="28"/>
      <c r="E744" s="29"/>
      <c r="F744" s="29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" x14ac:dyDescent="0.15">
      <c r="A745" s="28"/>
      <c r="B745" s="28"/>
      <c r="C745" s="28"/>
      <c r="D745" s="28"/>
      <c r="E745" s="29"/>
      <c r="F745" s="29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" x14ac:dyDescent="0.15">
      <c r="A746" s="28"/>
      <c r="B746" s="28"/>
      <c r="C746" s="28"/>
      <c r="D746" s="28"/>
      <c r="E746" s="29"/>
      <c r="F746" s="29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" x14ac:dyDescent="0.15">
      <c r="A747" s="28"/>
      <c r="B747" s="28"/>
      <c r="C747" s="28"/>
      <c r="D747" s="28"/>
      <c r="E747" s="29"/>
      <c r="F747" s="29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" x14ac:dyDescent="0.15">
      <c r="A748" s="28"/>
      <c r="B748" s="28"/>
      <c r="C748" s="28"/>
      <c r="D748" s="28"/>
      <c r="E748" s="29"/>
      <c r="F748" s="29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" x14ac:dyDescent="0.15">
      <c r="A749" s="28"/>
      <c r="B749" s="28"/>
      <c r="C749" s="28"/>
      <c r="D749" s="28"/>
      <c r="E749" s="29"/>
      <c r="F749" s="29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" x14ac:dyDescent="0.15">
      <c r="A750" s="28"/>
      <c r="B750" s="28"/>
      <c r="C750" s="28"/>
      <c r="D750" s="28"/>
      <c r="E750" s="29"/>
      <c r="F750" s="29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" x14ac:dyDescent="0.15">
      <c r="A751" s="28"/>
      <c r="B751" s="28"/>
      <c r="C751" s="28"/>
      <c r="D751" s="28"/>
      <c r="E751" s="29"/>
      <c r="F751" s="29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" x14ac:dyDescent="0.15">
      <c r="A752" s="28"/>
      <c r="B752" s="28"/>
      <c r="C752" s="28"/>
      <c r="D752" s="28"/>
      <c r="E752" s="29"/>
      <c r="F752" s="29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" x14ac:dyDescent="0.15">
      <c r="A753" s="28"/>
      <c r="B753" s="28"/>
      <c r="C753" s="28"/>
      <c r="D753" s="28"/>
      <c r="E753" s="29"/>
      <c r="F753" s="29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" x14ac:dyDescent="0.15">
      <c r="A754" s="28"/>
      <c r="B754" s="28"/>
      <c r="C754" s="28"/>
      <c r="D754" s="28"/>
      <c r="E754" s="29"/>
      <c r="F754" s="29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" x14ac:dyDescent="0.15">
      <c r="A755" s="28"/>
      <c r="B755" s="28"/>
      <c r="C755" s="28"/>
      <c r="D755" s="28"/>
      <c r="E755" s="29"/>
      <c r="F755" s="29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" x14ac:dyDescent="0.15">
      <c r="A756" s="28"/>
      <c r="B756" s="28"/>
      <c r="C756" s="28"/>
      <c r="D756" s="28"/>
      <c r="E756" s="29"/>
      <c r="F756" s="29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" x14ac:dyDescent="0.15">
      <c r="A757" s="28"/>
      <c r="B757" s="28"/>
      <c r="C757" s="28"/>
      <c r="D757" s="28"/>
      <c r="E757" s="29"/>
      <c r="F757" s="29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" x14ac:dyDescent="0.15">
      <c r="A758" s="28"/>
      <c r="B758" s="28"/>
      <c r="C758" s="28"/>
      <c r="D758" s="28"/>
      <c r="E758" s="29"/>
      <c r="F758" s="29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" x14ac:dyDescent="0.15">
      <c r="A759" s="28"/>
      <c r="B759" s="28"/>
      <c r="C759" s="28"/>
      <c r="D759" s="28"/>
      <c r="E759" s="29"/>
      <c r="F759" s="29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" x14ac:dyDescent="0.15">
      <c r="A760" s="28"/>
      <c r="B760" s="28"/>
      <c r="C760" s="28"/>
      <c r="D760" s="28"/>
      <c r="E760" s="29"/>
      <c r="F760" s="29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" x14ac:dyDescent="0.15">
      <c r="A761" s="28"/>
      <c r="B761" s="28"/>
      <c r="C761" s="28"/>
      <c r="D761" s="28"/>
      <c r="E761" s="29"/>
      <c r="F761" s="29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" x14ac:dyDescent="0.15">
      <c r="A762" s="28"/>
      <c r="B762" s="28"/>
      <c r="C762" s="28"/>
      <c r="D762" s="28"/>
      <c r="E762" s="29"/>
      <c r="F762" s="29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" x14ac:dyDescent="0.15">
      <c r="A763" s="28"/>
      <c r="B763" s="28"/>
      <c r="C763" s="28"/>
      <c r="D763" s="28"/>
      <c r="E763" s="29"/>
      <c r="F763" s="29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" x14ac:dyDescent="0.15">
      <c r="A764" s="28"/>
      <c r="B764" s="28"/>
      <c r="C764" s="28"/>
      <c r="D764" s="28"/>
      <c r="E764" s="29"/>
      <c r="F764" s="29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" x14ac:dyDescent="0.15">
      <c r="A765" s="28"/>
      <c r="B765" s="28"/>
      <c r="C765" s="28"/>
      <c r="D765" s="28"/>
      <c r="E765" s="29"/>
      <c r="F765" s="29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" x14ac:dyDescent="0.15">
      <c r="A766" s="28"/>
      <c r="B766" s="28"/>
      <c r="C766" s="28"/>
      <c r="D766" s="28"/>
      <c r="E766" s="29"/>
      <c r="F766" s="29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" x14ac:dyDescent="0.15">
      <c r="A767" s="28"/>
      <c r="B767" s="28"/>
      <c r="C767" s="28"/>
      <c r="D767" s="28"/>
      <c r="E767" s="29"/>
      <c r="F767" s="29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" x14ac:dyDescent="0.15">
      <c r="A768" s="28"/>
      <c r="B768" s="28"/>
      <c r="C768" s="28"/>
      <c r="D768" s="28"/>
      <c r="E768" s="29"/>
      <c r="F768" s="29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" x14ac:dyDescent="0.15">
      <c r="A769" s="28"/>
      <c r="B769" s="28"/>
      <c r="C769" s="28"/>
      <c r="D769" s="28"/>
      <c r="E769" s="29"/>
      <c r="F769" s="29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" x14ac:dyDescent="0.15">
      <c r="A770" s="28"/>
      <c r="B770" s="28"/>
      <c r="C770" s="28"/>
      <c r="D770" s="28"/>
      <c r="E770" s="29"/>
      <c r="F770" s="29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" x14ac:dyDescent="0.15">
      <c r="A771" s="28"/>
      <c r="B771" s="28"/>
      <c r="C771" s="28"/>
      <c r="D771" s="28"/>
      <c r="E771" s="29"/>
      <c r="F771" s="29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" x14ac:dyDescent="0.15">
      <c r="A772" s="28"/>
      <c r="B772" s="28"/>
      <c r="C772" s="28"/>
      <c r="D772" s="28"/>
      <c r="E772" s="29"/>
      <c r="F772" s="29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" x14ac:dyDescent="0.15">
      <c r="A773" s="28"/>
      <c r="B773" s="28"/>
      <c r="C773" s="28"/>
      <c r="D773" s="28"/>
      <c r="E773" s="29"/>
      <c r="F773" s="29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" x14ac:dyDescent="0.15">
      <c r="A774" s="28"/>
      <c r="B774" s="28"/>
      <c r="C774" s="28"/>
      <c r="D774" s="28"/>
      <c r="E774" s="29"/>
      <c r="F774" s="29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" x14ac:dyDescent="0.15">
      <c r="A775" s="28"/>
      <c r="B775" s="28"/>
      <c r="C775" s="28"/>
      <c r="D775" s="28"/>
      <c r="E775" s="29"/>
      <c r="F775" s="29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" x14ac:dyDescent="0.15">
      <c r="A776" s="28"/>
      <c r="B776" s="28"/>
      <c r="C776" s="28"/>
      <c r="D776" s="28"/>
      <c r="E776" s="29"/>
      <c r="F776" s="29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" x14ac:dyDescent="0.15">
      <c r="A777" s="28"/>
      <c r="B777" s="28"/>
      <c r="C777" s="28"/>
      <c r="D777" s="28"/>
      <c r="E777" s="29"/>
      <c r="F777" s="29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" x14ac:dyDescent="0.15">
      <c r="A778" s="28"/>
      <c r="B778" s="28"/>
      <c r="C778" s="28"/>
      <c r="D778" s="28"/>
      <c r="E778" s="29"/>
      <c r="F778" s="29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" x14ac:dyDescent="0.15">
      <c r="A779" s="28"/>
      <c r="B779" s="28"/>
      <c r="C779" s="28"/>
      <c r="D779" s="28"/>
      <c r="E779" s="29"/>
      <c r="F779" s="29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" x14ac:dyDescent="0.15">
      <c r="A780" s="28"/>
      <c r="B780" s="28"/>
      <c r="C780" s="28"/>
      <c r="D780" s="28"/>
      <c r="E780" s="29"/>
      <c r="F780" s="29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" x14ac:dyDescent="0.15">
      <c r="A781" s="28"/>
      <c r="B781" s="28"/>
      <c r="C781" s="28"/>
      <c r="D781" s="28"/>
      <c r="E781" s="29"/>
      <c r="F781" s="29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" x14ac:dyDescent="0.15">
      <c r="A782" s="28"/>
      <c r="B782" s="28"/>
      <c r="C782" s="28"/>
      <c r="D782" s="28"/>
      <c r="E782" s="29"/>
      <c r="F782" s="29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" x14ac:dyDescent="0.15">
      <c r="A783" s="28"/>
      <c r="B783" s="28"/>
      <c r="C783" s="28"/>
      <c r="D783" s="28"/>
      <c r="E783" s="29"/>
      <c r="F783" s="29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" x14ac:dyDescent="0.15">
      <c r="A784" s="28"/>
      <c r="B784" s="28"/>
      <c r="C784" s="28"/>
      <c r="D784" s="28"/>
      <c r="E784" s="29"/>
      <c r="F784" s="29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" x14ac:dyDescent="0.15">
      <c r="A785" s="28"/>
      <c r="B785" s="28"/>
      <c r="C785" s="28"/>
      <c r="D785" s="28"/>
      <c r="E785" s="29"/>
      <c r="F785" s="29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" x14ac:dyDescent="0.15">
      <c r="A786" s="28"/>
      <c r="B786" s="28"/>
      <c r="C786" s="28"/>
      <c r="D786" s="28"/>
      <c r="E786" s="29"/>
      <c r="F786" s="29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" x14ac:dyDescent="0.15">
      <c r="A787" s="28"/>
      <c r="B787" s="28"/>
      <c r="C787" s="28"/>
      <c r="D787" s="28"/>
      <c r="E787" s="29"/>
      <c r="F787" s="29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" x14ac:dyDescent="0.15">
      <c r="A788" s="28"/>
      <c r="B788" s="28"/>
      <c r="C788" s="28"/>
      <c r="D788" s="28"/>
      <c r="E788" s="29"/>
      <c r="F788" s="29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" x14ac:dyDescent="0.15">
      <c r="A789" s="28"/>
      <c r="B789" s="28"/>
      <c r="C789" s="28"/>
      <c r="D789" s="28"/>
      <c r="E789" s="29"/>
      <c r="F789" s="29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" x14ac:dyDescent="0.15">
      <c r="A790" s="28"/>
      <c r="B790" s="28"/>
      <c r="C790" s="28"/>
      <c r="D790" s="28"/>
      <c r="E790" s="29"/>
      <c r="F790" s="29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" x14ac:dyDescent="0.15">
      <c r="A791" s="28"/>
      <c r="B791" s="28"/>
      <c r="C791" s="28"/>
      <c r="D791" s="28"/>
      <c r="E791" s="29"/>
      <c r="F791" s="29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" x14ac:dyDescent="0.15">
      <c r="A792" s="28"/>
      <c r="B792" s="28"/>
      <c r="C792" s="28"/>
      <c r="D792" s="28"/>
      <c r="E792" s="29"/>
      <c r="F792" s="29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" x14ac:dyDescent="0.15">
      <c r="A793" s="28"/>
      <c r="B793" s="28"/>
      <c r="C793" s="28"/>
      <c r="D793" s="28"/>
      <c r="E793" s="29"/>
      <c r="F793" s="29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" x14ac:dyDescent="0.15">
      <c r="A794" s="28"/>
      <c r="B794" s="28"/>
      <c r="C794" s="28"/>
      <c r="D794" s="28"/>
      <c r="E794" s="29"/>
      <c r="F794" s="29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" x14ac:dyDescent="0.15">
      <c r="A795" s="28"/>
      <c r="B795" s="28"/>
      <c r="C795" s="28"/>
      <c r="D795" s="28"/>
      <c r="E795" s="29"/>
      <c r="F795" s="29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" x14ac:dyDescent="0.15">
      <c r="A796" s="28"/>
      <c r="B796" s="28"/>
      <c r="C796" s="28"/>
      <c r="D796" s="28"/>
      <c r="E796" s="29"/>
      <c r="F796" s="29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" x14ac:dyDescent="0.15">
      <c r="A797" s="28"/>
      <c r="B797" s="28"/>
      <c r="C797" s="28"/>
      <c r="D797" s="28"/>
      <c r="E797" s="29"/>
      <c r="F797" s="29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" x14ac:dyDescent="0.15">
      <c r="A798" s="28"/>
      <c r="B798" s="28"/>
      <c r="C798" s="28"/>
      <c r="D798" s="28"/>
      <c r="E798" s="29"/>
      <c r="F798" s="29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" x14ac:dyDescent="0.15">
      <c r="A799" s="28"/>
      <c r="B799" s="28"/>
      <c r="C799" s="28"/>
      <c r="D799" s="28"/>
      <c r="E799" s="29"/>
      <c r="F799" s="29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" x14ac:dyDescent="0.15">
      <c r="A800" s="28"/>
      <c r="B800" s="28"/>
      <c r="C800" s="28"/>
      <c r="D800" s="28"/>
      <c r="E800" s="29"/>
      <c r="F800" s="29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" x14ac:dyDescent="0.15">
      <c r="A801" s="28"/>
      <c r="B801" s="28"/>
      <c r="C801" s="28"/>
      <c r="D801" s="28"/>
      <c r="E801" s="29"/>
      <c r="F801" s="29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" x14ac:dyDescent="0.15">
      <c r="A802" s="28"/>
      <c r="B802" s="28"/>
      <c r="C802" s="28"/>
      <c r="D802" s="28"/>
      <c r="E802" s="29"/>
      <c r="F802" s="29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" x14ac:dyDescent="0.15">
      <c r="A803" s="28"/>
      <c r="B803" s="28"/>
      <c r="C803" s="28"/>
      <c r="D803" s="28"/>
      <c r="E803" s="29"/>
      <c r="F803" s="29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" x14ac:dyDescent="0.15">
      <c r="A804" s="28"/>
      <c r="B804" s="28"/>
      <c r="C804" s="28"/>
      <c r="D804" s="28"/>
      <c r="E804" s="29"/>
      <c r="F804" s="29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" x14ac:dyDescent="0.15">
      <c r="A805" s="28"/>
      <c r="B805" s="28"/>
      <c r="C805" s="28"/>
      <c r="D805" s="28"/>
      <c r="E805" s="29"/>
      <c r="F805" s="29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" x14ac:dyDescent="0.15">
      <c r="A806" s="28"/>
      <c r="B806" s="28"/>
      <c r="C806" s="28"/>
      <c r="D806" s="28"/>
      <c r="E806" s="29"/>
      <c r="F806" s="29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" x14ac:dyDescent="0.15">
      <c r="A807" s="28"/>
      <c r="B807" s="28"/>
      <c r="C807" s="28"/>
      <c r="D807" s="28"/>
      <c r="E807" s="29"/>
      <c r="F807" s="29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" x14ac:dyDescent="0.15">
      <c r="A808" s="28"/>
      <c r="B808" s="28"/>
      <c r="C808" s="28"/>
      <c r="D808" s="28"/>
      <c r="E808" s="29"/>
      <c r="F808" s="29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" x14ac:dyDescent="0.15">
      <c r="A809" s="28"/>
      <c r="B809" s="28"/>
      <c r="C809" s="28"/>
      <c r="D809" s="28"/>
      <c r="E809" s="29"/>
      <c r="F809" s="29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" x14ac:dyDescent="0.15">
      <c r="A810" s="28"/>
      <c r="B810" s="28"/>
      <c r="C810" s="28"/>
      <c r="D810" s="28"/>
      <c r="E810" s="29"/>
      <c r="F810" s="29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" x14ac:dyDescent="0.15">
      <c r="A811" s="28"/>
      <c r="B811" s="28"/>
      <c r="C811" s="28"/>
      <c r="D811" s="28"/>
      <c r="E811" s="29"/>
      <c r="F811" s="29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" x14ac:dyDescent="0.15">
      <c r="A812" s="28"/>
      <c r="B812" s="28"/>
      <c r="C812" s="28"/>
      <c r="D812" s="28"/>
      <c r="E812" s="29"/>
      <c r="F812" s="29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" x14ac:dyDescent="0.15">
      <c r="A813" s="28"/>
      <c r="B813" s="28"/>
      <c r="C813" s="28"/>
      <c r="D813" s="28"/>
      <c r="E813" s="29"/>
      <c r="F813" s="29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" x14ac:dyDescent="0.15">
      <c r="A814" s="28"/>
      <c r="B814" s="28"/>
      <c r="C814" s="28"/>
      <c r="D814" s="28"/>
      <c r="E814" s="29"/>
      <c r="F814" s="29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" x14ac:dyDescent="0.15">
      <c r="A815" s="28"/>
      <c r="B815" s="28"/>
      <c r="C815" s="28"/>
      <c r="D815" s="28"/>
      <c r="E815" s="29"/>
      <c r="F815" s="29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" x14ac:dyDescent="0.15">
      <c r="A816" s="28"/>
      <c r="B816" s="28"/>
      <c r="C816" s="28"/>
      <c r="D816" s="28"/>
      <c r="E816" s="29"/>
      <c r="F816" s="29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" x14ac:dyDescent="0.15">
      <c r="A817" s="28"/>
      <c r="B817" s="28"/>
      <c r="C817" s="28"/>
      <c r="D817" s="28"/>
      <c r="E817" s="29"/>
      <c r="F817" s="29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" x14ac:dyDescent="0.15">
      <c r="A818" s="28"/>
      <c r="B818" s="28"/>
      <c r="C818" s="28"/>
      <c r="D818" s="28"/>
      <c r="E818" s="29"/>
      <c r="F818" s="29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" x14ac:dyDescent="0.15">
      <c r="A819" s="28"/>
      <c r="B819" s="28"/>
      <c r="C819" s="28"/>
      <c r="D819" s="28"/>
      <c r="E819" s="29"/>
      <c r="F819" s="29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" x14ac:dyDescent="0.15">
      <c r="A820" s="28"/>
      <c r="B820" s="28"/>
      <c r="C820" s="28"/>
      <c r="D820" s="28"/>
      <c r="E820" s="29"/>
      <c r="F820" s="29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" x14ac:dyDescent="0.15">
      <c r="A821" s="28"/>
      <c r="B821" s="28"/>
      <c r="C821" s="28"/>
      <c r="D821" s="28"/>
      <c r="E821" s="29"/>
      <c r="F821" s="29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" x14ac:dyDescent="0.15">
      <c r="A822" s="28"/>
      <c r="B822" s="28"/>
      <c r="C822" s="28"/>
      <c r="D822" s="28"/>
      <c r="E822" s="29"/>
      <c r="F822" s="29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" x14ac:dyDescent="0.15">
      <c r="A823" s="28"/>
      <c r="B823" s="28"/>
      <c r="C823" s="28"/>
      <c r="D823" s="28"/>
      <c r="E823" s="29"/>
      <c r="F823" s="29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" x14ac:dyDescent="0.15">
      <c r="A824" s="28"/>
      <c r="B824" s="28"/>
      <c r="C824" s="28"/>
      <c r="D824" s="28"/>
      <c r="E824" s="29"/>
      <c r="F824" s="29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" x14ac:dyDescent="0.15">
      <c r="A825" s="28"/>
      <c r="B825" s="28"/>
      <c r="C825" s="28"/>
      <c r="D825" s="28"/>
      <c r="E825" s="29"/>
      <c r="F825" s="29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" x14ac:dyDescent="0.15">
      <c r="A826" s="28"/>
      <c r="B826" s="28"/>
      <c r="C826" s="28"/>
      <c r="D826" s="28"/>
      <c r="E826" s="29"/>
      <c r="F826" s="29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" x14ac:dyDescent="0.15">
      <c r="A827" s="28"/>
      <c r="B827" s="28"/>
      <c r="C827" s="28"/>
      <c r="D827" s="28"/>
      <c r="E827" s="29"/>
      <c r="F827" s="29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" x14ac:dyDescent="0.15">
      <c r="A828" s="28"/>
      <c r="B828" s="28"/>
      <c r="C828" s="28"/>
      <c r="D828" s="28"/>
      <c r="E828" s="29"/>
      <c r="F828" s="29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" x14ac:dyDescent="0.15">
      <c r="A829" s="28"/>
      <c r="B829" s="28"/>
      <c r="C829" s="28"/>
      <c r="D829" s="28"/>
      <c r="E829" s="29"/>
      <c r="F829" s="29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" x14ac:dyDescent="0.15">
      <c r="A830" s="28"/>
      <c r="B830" s="28"/>
      <c r="C830" s="28"/>
      <c r="D830" s="28"/>
      <c r="E830" s="29"/>
      <c r="F830" s="29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" x14ac:dyDescent="0.15">
      <c r="A831" s="28"/>
      <c r="B831" s="28"/>
      <c r="C831" s="28"/>
      <c r="D831" s="28"/>
      <c r="E831" s="29"/>
      <c r="F831" s="29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" x14ac:dyDescent="0.15">
      <c r="A832" s="28"/>
      <c r="B832" s="28"/>
      <c r="C832" s="28"/>
      <c r="D832" s="28"/>
      <c r="E832" s="29"/>
      <c r="F832" s="29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" x14ac:dyDescent="0.15">
      <c r="A833" s="28"/>
      <c r="B833" s="28"/>
      <c r="C833" s="28"/>
      <c r="D833" s="28"/>
      <c r="E833" s="29"/>
      <c r="F833" s="29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" x14ac:dyDescent="0.15">
      <c r="A834" s="28"/>
      <c r="B834" s="28"/>
      <c r="C834" s="28"/>
      <c r="D834" s="28"/>
      <c r="E834" s="29"/>
      <c r="F834" s="29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" x14ac:dyDescent="0.15">
      <c r="A835" s="28"/>
      <c r="B835" s="28"/>
      <c r="C835" s="28"/>
      <c r="D835" s="28"/>
      <c r="E835" s="29"/>
      <c r="F835" s="29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" x14ac:dyDescent="0.15">
      <c r="A836" s="28"/>
      <c r="B836" s="28"/>
      <c r="C836" s="28"/>
      <c r="D836" s="28"/>
      <c r="E836" s="29"/>
      <c r="F836" s="29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" x14ac:dyDescent="0.15">
      <c r="A837" s="28"/>
      <c r="B837" s="28"/>
      <c r="C837" s="28"/>
      <c r="D837" s="28"/>
      <c r="E837" s="29"/>
      <c r="F837" s="29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" x14ac:dyDescent="0.15">
      <c r="A838" s="28"/>
      <c r="B838" s="28"/>
      <c r="C838" s="28"/>
      <c r="D838" s="28"/>
      <c r="E838" s="29"/>
      <c r="F838" s="29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" x14ac:dyDescent="0.15">
      <c r="A839" s="28"/>
      <c r="B839" s="28"/>
      <c r="C839" s="28"/>
      <c r="D839" s="28"/>
      <c r="E839" s="29"/>
      <c r="F839" s="29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" x14ac:dyDescent="0.15">
      <c r="A840" s="28"/>
      <c r="B840" s="28"/>
      <c r="C840" s="28"/>
      <c r="D840" s="28"/>
      <c r="E840" s="29"/>
      <c r="F840" s="29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" x14ac:dyDescent="0.15">
      <c r="A841" s="28"/>
      <c r="B841" s="28"/>
      <c r="C841" s="28"/>
      <c r="D841" s="28"/>
      <c r="E841" s="29"/>
      <c r="F841" s="29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" x14ac:dyDescent="0.15">
      <c r="A842" s="28"/>
      <c r="B842" s="28"/>
      <c r="C842" s="28"/>
      <c r="D842" s="28"/>
      <c r="E842" s="29"/>
      <c r="F842" s="29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" x14ac:dyDescent="0.15">
      <c r="A843" s="28"/>
      <c r="B843" s="28"/>
      <c r="C843" s="28"/>
      <c r="D843" s="28"/>
      <c r="E843" s="29"/>
      <c r="F843" s="29"/>
      <c r="G843" s="29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" x14ac:dyDescent="0.15">
      <c r="A844" s="28"/>
      <c r="B844" s="28"/>
      <c r="C844" s="28"/>
      <c r="D844" s="28"/>
      <c r="E844" s="29"/>
      <c r="F844" s="29"/>
      <c r="G844" s="29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" x14ac:dyDescent="0.15">
      <c r="A845" s="28"/>
      <c r="B845" s="28"/>
      <c r="C845" s="28"/>
      <c r="D845" s="28"/>
      <c r="E845" s="29"/>
      <c r="F845" s="29"/>
      <c r="G845" s="29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" x14ac:dyDescent="0.15">
      <c r="A846" s="28"/>
      <c r="B846" s="28"/>
      <c r="C846" s="28"/>
      <c r="D846" s="28"/>
      <c r="E846" s="29"/>
      <c r="F846" s="29"/>
      <c r="G846" s="29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" x14ac:dyDescent="0.15">
      <c r="A847" s="28"/>
      <c r="B847" s="28"/>
      <c r="C847" s="28"/>
      <c r="D847" s="28"/>
      <c r="E847" s="29"/>
      <c r="F847" s="29"/>
      <c r="G847" s="29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" x14ac:dyDescent="0.15">
      <c r="A848" s="28"/>
      <c r="B848" s="28"/>
      <c r="C848" s="28"/>
      <c r="D848" s="28"/>
      <c r="E848" s="29"/>
      <c r="F848" s="29"/>
      <c r="G848" s="29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" x14ac:dyDescent="0.15">
      <c r="A849" s="28"/>
      <c r="B849" s="28"/>
      <c r="C849" s="28"/>
      <c r="D849" s="28"/>
      <c r="E849" s="29"/>
      <c r="F849" s="29"/>
      <c r="G849" s="29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" x14ac:dyDescent="0.15">
      <c r="A850" s="28"/>
      <c r="B850" s="28"/>
      <c r="C850" s="28"/>
      <c r="D850" s="28"/>
      <c r="E850" s="29"/>
      <c r="F850" s="29"/>
      <c r="G850" s="29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" x14ac:dyDescent="0.15">
      <c r="A851" s="28"/>
      <c r="B851" s="28"/>
      <c r="C851" s="28"/>
      <c r="D851" s="28"/>
      <c r="E851" s="29"/>
      <c r="F851" s="29"/>
      <c r="G851" s="29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" x14ac:dyDescent="0.15">
      <c r="A852" s="28"/>
      <c r="B852" s="28"/>
      <c r="C852" s="28"/>
      <c r="D852" s="28"/>
      <c r="E852" s="29"/>
      <c r="F852" s="29"/>
      <c r="G852" s="29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" x14ac:dyDescent="0.15">
      <c r="A853" s="28"/>
      <c r="B853" s="28"/>
      <c r="C853" s="28"/>
      <c r="D853" s="28"/>
      <c r="E853" s="29"/>
      <c r="F853" s="29"/>
      <c r="G853" s="29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" x14ac:dyDescent="0.15">
      <c r="A854" s="28"/>
      <c r="B854" s="28"/>
      <c r="C854" s="28"/>
      <c r="D854" s="28"/>
      <c r="E854" s="29"/>
      <c r="F854" s="29"/>
      <c r="G854" s="29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" x14ac:dyDescent="0.15">
      <c r="A855" s="28"/>
      <c r="B855" s="28"/>
      <c r="C855" s="28"/>
      <c r="D855" s="28"/>
      <c r="E855" s="29"/>
      <c r="F855" s="29"/>
      <c r="G855" s="29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" x14ac:dyDescent="0.15">
      <c r="A856" s="28"/>
      <c r="B856" s="28"/>
      <c r="C856" s="28"/>
      <c r="D856" s="28"/>
      <c r="E856" s="29"/>
      <c r="F856" s="29"/>
      <c r="G856" s="29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" x14ac:dyDescent="0.15">
      <c r="A857" s="28"/>
      <c r="B857" s="28"/>
      <c r="C857" s="28"/>
      <c r="D857" s="28"/>
      <c r="E857" s="29"/>
      <c r="F857" s="29"/>
      <c r="G857" s="29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" x14ac:dyDescent="0.15">
      <c r="A858" s="28"/>
      <c r="B858" s="28"/>
      <c r="C858" s="28"/>
      <c r="D858" s="28"/>
      <c r="E858" s="29"/>
      <c r="F858" s="29"/>
      <c r="G858" s="29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" x14ac:dyDescent="0.15">
      <c r="A859" s="28"/>
      <c r="B859" s="28"/>
      <c r="C859" s="28"/>
      <c r="D859" s="28"/>
      <c r="E859" s="29"/>
      <c r="F859" s="29"/>
      <c r="G859" s="29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" x14ac:dyDescent="0.15">
      <c r="A860" s="28"/>
      <c r="B860" s="28"/>
      <c r="C860" s="28"/>
      <c r="D860" s="28"/>
      <c r="E860" s="29"/>
      <c r="F860" s="29"/>
      <c r="G860" s="29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" x14ac:dyDescent="0.15">
      <c r="A861" s="28"/>
      <c r="B861" s="28"/>
      <c r="C861" s="28"/>
      <c r="D861" s="28"/>
      <c r="E861" s="29"/>
      <c r="F861" s="29"/>
      <c r="G861" s="29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" x14ac:dyDescent="0.15">
      <c r="A862" s="28"/>
      <c r="B862" s="28"/>
      <c r="C862" s="28"/>
      <c r="D862" s="28"/>
      <c r="E862" s="29"/>
      <c r="F862" s="29"/>
      <c r="G862" s="29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" x14ac:dyDescent="0.15">
      <c r="A863" s="28"/>
      <c r="B863" s="28"/>
      <c r="C863" s="28"/>
      <c r="D863" s="28"/>
      <c r="E863" s="29"/>
      <c r="F863" s="29"/>
      <c r="G863" s="29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" x14ac:dyDescent="0.15">
      <c r="A864" s="28"/>
      <c r="B864" s="28"/>
      <c r="C864" s="28"/>
      <c r="D864" s="28"/>
      <c r="E864" s="29"/>
      <c r="F864" s="29"/>
      <c r="G864" s="29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" x14ac:dyDescent="0.15">
      <c r="A865" s="28"/>
      <c r="B865" s="28"/>
      <c r="C865" s="28"/>
      <c r="D865" s="28"/>
      <c r="E865" s="29"/>
      <c r="F865" s="29"/>
      <c r="G865" s="29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" x14ac:dyDescent="0.15">
      <c r="A866" s="28"/>
      <c r="B866" s="28"/>
      <c r="C866" s="28"/>
      <c r="D866" s="28"/>
      <c r="E866" s="29"/>
      <c r="F866" s="29"/>
      <c r="G866" s="29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" x14ac:dyDescent="0.15">
      <c r="A867" s="28"/>
      <c r="B867" s="28"/>
      <c r="C867" s="28"/>
      <c r="D867" s="28"/>
      <c r="E867" s="29"/>
      <c r="F867" s="29"/>
      <c r="G867" s="29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" x14ac:dyDescent="0.15">
      <c r="A868" s="28"/>
      <c r="B868" s="28"/>
      <c r="C868" s="28"/>
      <c r="D868" s="28"/>
      <c r="E868" s="29"/>
      <c r="F868" s="29"/>
      <c r="G868" s="29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" x14ac:dyDescent="0.15">
      <c r="A869" s="28"/>
      <c r="B869" s="28"/>
      <c r="C869" s="28"/>
      <c r="D869" s="28"/>
      <c r="E869" s="29"/>
      <c r="F869" s="29"/>
      <c r="G869" s="29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" x14ac:dyDescent="0.15">
      <c r="A870" s="28"/>
      <c r="B870" s="28"/>
      <c r="C870" s="28"/>
      <c r="D870" s="28"/>
      <c r="E870" s="29"/>
      <c r="F870" s="29"/>
      <c r="G870" s="29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" x14ac:dyDescent="0.15">
      <c r="A871" s="28"/>
      <c r="B871" s="28"/>
      <c r="C871" s="28"/>
      <c r="D871" s="28"/>
      <c r="E871" s="29"/>
      <c r="F871" s="29"/>
      <c r="G871" s="29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" x14ac:dyDescent="0.15">
      <c r="A872" s="28"/>
      <c r="B872" s="28"/>
      <c r="C872" s="28"/>
      <c r="D872" s="28"/>
      <c r="E872" s="29"/>
      <c r="F872" s="29"/>
      <c r="G872" s="29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" x14ac:dyDescent="0.15">
      <c r="A873" s="28"/>
      <c r="B873" s="28"/>
      <c r="C873" s="28"/>
      <c r="D873" s="28"/>
      <c r="E873" s="29"/>
      <c r="F873" s="29"/>
      <c r="G873" s="29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" x14ac:dyDescent="0.15">
      <c r="A874" s="28"/>
      <c r="B874" s="28"/>
      <c r="C874" s="28"/>
      <c r="D874" s="28"/>
      <c r="E874" s="29"/>
      <c r="F874" s="29"/>
      <c r="G874" s="29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" x14ac:dyDescent="0.15">
      <c r="A875" s="28"/>
      <c r="B875" s="28"/>
      <c r="C875" s="28"/>
      <c r="D875" s="28"/>
      <c r="E875" s="29"/>
      <c r="F875" s="29"/>
      <c r="G875" s="29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" x14ac:dyDescent="0.15">
      <c r="A876" s="28"/>
      <c r="B876" s="28"/>
      <c r="C876" s="28"/>
      <c r="D876" s="28"/>
      <c r="E876" s="29"/>
      <c r="F876" s="29"/>
      <c r="G876" s="29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" x14ac:dyDescent="0.15">
      <c r="A877" s="28"/>
      <c r="B877" s="28"/>
      <c r="C877" s="28"/>
      <c r="D877" s="28"/>
      <c r="E877" s="29"/>
      <c r="F877" s="29"/>
      <c r="G877" s="29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" x14ac:dyDescent="0.15">
      <c r="A878" s="28"/>
      <c r="B878" s="28"/>
      <c r="C878" s="28"/>
      <c r="D878" s="28"/>
      <c r="E878" s="29"/>
      <c r="F878" s="29"/>
      <c r="G878" s="29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" x14ac:dyDescent="0.15">
      <c r="A879" s="28"/>
      <c r="B879" s="28"/>
      <c r="C879" s="28"/>
      <c r="D879" s="28"/>
      <c r="E879" s="29"/>
      <c r="F879" s="29"/>
      <c r="G879" s="29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" x14ac:dyDescent="0.15">
      <c r="A880" s="28"/>
      <c r="B880" s="28"/>
      <c r="C880" s="28"/>
      <c r="D880" s="28"/>
      <c r="E880" s="29"/>
      <c r="F880" s="29"/>
      <c r="G880" s="29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" x14ac:dyDescent="0.15">
      <c r="A881" s="28"/>
      <c r="B881" s="28"/>
      <c r="C881" s="28"/>
      <c r="D881" s="28"/>
      <c r="E881" s="29"/>
      <c r="F881" s="29"/>
      <c r="G881" s="29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" x14ac:dyDescent="0.15">
      <c r="A882" s="28"/>
      <c r="B882" s="28"/>
      <c r="C882" s="28"/>
      <c r="D882" s="28"/>
      <c r="E882" s="29"/>
      <c r="F882" s="29"/>
      <c r="G882" s="29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" x14ac:dyDescent="0.15">
      <c r="A883" s="28"/>
      <c r="B883" s="28"/>
      <c r="C883" s="28"/>
      <c r="D883" s="28"/>
      <c r="E883" s="29"/>
      <c r="F883" s="29"/>
      <c r="G883" s="29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" x14ac:dyDescent="0.15">
      <c r="A884" s="28"/>
      <c r="B884" s="28"/>
      <c r="C884" s="28"/>
      <c r="D884" s="28"/>
      <c r="E884" s="29"/>
      <c r="F884" s="29"/>
      <c r="G884" s="29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" x14ac:dyDescent="0.15">
      <c r="A885" s="28"/>
      <c r="B885" s="28"/>
      <c r="C885" s="28"/>
      <c r="D885" s="28"/>
      <c r="E885" s="29"/>
      <c r="F885" s="29"/>
      <c r="G885" s="29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" x14ac:dyDescent="0.15">
      <c r="A886" s="28"/>
      <c r="B886" s="28"/>
      <c r="C886" s="28"/>
      <c r="D886" s="28"/>
      <c r="E886" s="29"/>
      <c r="F886" s="29"/>
      <c r="G886" s="29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" x14ac:dyDescent="0.15">
      <c r="A887" s="28"/>
      <c r="B887" s="28"/>
      <c r="C887" s="28"/>
      <c r="D887" s="28"/>
      <c r="E887" s="29"/>
      <c r="F887" s="29"/>
      <c r="G887" s="29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" x14ac:dyDescent="0.15">
      <c r="A888" s="28"/>
      <c r="B888" s="28"/>
      <c r="C888" s="28"/>
      <c r="D888" s="28"/>
      <c r="E888" s="29"/>
      <c r="F888" s="29"/>
      <c r="G888" s="29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" x14ac:dyDescent="0.15">
      <c r="A889" s="28"/>
      <c r="B889" s="28"/>
      <c r="C889" s="28"/>
      <c r="D889" s="28"/>
      <c r="E889" s="29"/>
      <c r="F889" s="29"/>
      <c r="G889" s="29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" x14ac:dyDescent="0.15">
      <c r="A890" s="28"/>
      <c r="B890" s="28"/>
      <c r="C890" s="28"/>
      <c r="D890" s="28"/>
      <c r="E890" s="29"/>
      <c r="F890" s="29"/>
      <c r="G890" s="29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" x14ac:dyDescent="0.15">
      <c r="A891" s="28"/>
      <c r="B891" s="28"/>
      <c r="C891" s="28"/>
      <c r="D891" s="28"/>
      <c r="E891" s="29"/>
      <c r="F891" s="29"/>
      <c r="G891" s="29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" x14ac:dyDescent="0.15">
      <c r="A892" s="28"/>
      <c r="B892" s="28"/>
      <c r="C892" s="28"/>
      <c r="D892" s="28"/>
      <c r="E892" s="29"/>
      <c r="F892" s="29"/>
      <c r="G892" s="29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" x14ac:dyDescent="0.15">
      <c r="A893" s="28"/>
      <c r="B893" s="28"/>
      <c r="C893" s="28"/>
      <c r="D893" s="28"/>
      <c r="E893" s="29"/>
      <c r="F893" s="29"/>
      <c r="G893" s="29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" x14ac:dyDescent="0.15">
      <c r="A894" s="28"/>
      <c r="B894" s="28"/>
      <c r="C894" s="28"/>
      <c r="D894" s="28"/>
      <c r="E894" s="29"/>
      <c r="F894" s="29"/>
      <c r="G894" s="29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" x14ac:dyDescent="0.15">
      <c r="A895" s="28"/>
      <c r="B895" s="28"/>
      <c r="C895" s="28"/>
      <c r="D895" s="28"/>
      <c r="E895" s="29"/>
      <c r="F895" s="29"/>
      <c r="G895" s="29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" x14ac:dyDescent="0.15">
      <c r="A896" s="28"/>
      <c r="B896" s="28"/>
      <c r="C896" s="28"/>
      <c r="D896" s="28"/>
      <c r="E896" s="29"/>
      <c r="F896" s="29"/>
      <c r="G896" s="29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" x14ac:dyDescent="0.15">
      <c r="A897" s="28"/>
      <c r="B897" s="28"/>
      <c r="C897" s="28"/>
      <c r="D897" s="28"/>
      <c r="E897" s="29"/>
      <c r="F897" s="29"/>
      <c r="G897" s="29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" x14ac:dyDescent="0.15">
      <c r="A898" s="28"/>
      <c r="B898" s="28"/>
      <c r="C898" s="28"/>
      <c r="D898" s="28"/>
      <c r="E898" s="29"/>
      <c r="F898" s="29"/>
      <c r="G898" s="29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" x14ac:dyDescent="0.15">
      <c r="A899" s="28"/>
      <c r="B899" s="28"/>
      <c r="C899" s="28"/>
      <c r="D899" s="28"/>
      <c r="E899" s="29"/>
      <c r="F899" s="29"/>
      <c r="G899" s="29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" x14ac:dyDescent="0.15">
      <c r="A900" s="28"/>
      <c r="B900" s="28"/>
      <c r="C900" s="28"/>
      <c r="D900" s="28"/>
      <c r="E900" s="29"/>
      <c r="F900" s="29"/>
      <c r="G900" s="29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" x14ac:dyDescent="0.15">
      <c r="A901" s="28"/>
      <c r="B901" s="28"/>
      <c r="C901" s="28"/>
      <c r="D901" s="28"/>
      <c r="E901" s="29"/>
      <c r="F901" s="29"/>
      <c r="G901" s="29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" x14ac:dyDescent="0.15">
      <c r="A902" s="28"/>
      <c r="B902" s="28"/>
      <c r="C902" s="28"/>
      <c r="D902" s="28"/>
      <c r="E902" s="29"/>
      <c r="F902" s="29"/>
      <c r="G902" s="29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" x14ac:dyDescent="0.15">
      <c r="A903" s="28"/>
      <c r="B903" s="28"/>
      <c r="C903" s="28"/>
      <c r="D903" s="28"/>
      <c r="E903" s="29"/>
      <c r="F903" s="29"/>
      <c r="G903" s="29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" x14ac:dyDescent="0.15">
      <c r="A904" s="28"/>
      <c r="B904" s="28"/>
      <c r="C904" s="28"/>
      <c r="D904" s="28"/>
      <c r="E904" s="29"/>
      <c r="F904" s="29"/>
      <c r="G904" s="29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" x14ac:dyDescent="0.15">
      <c r="A905" s="28"/>
      <c r="B905" s="28"/>
      <c r="C905" s="28"/>
      <c r="D905" s="28"/>
      <c r="E905" s="29"/>
      <c r="F905" s="29"/>
      <c r="G905" s="29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" x14ac:dyDescent="0.15">
      <c r="A906" s="28"/>
      <c r="B906" s="28"/>
      <c r="C906" s="28"/>
      <c r="D906" s="28"/>
      <c r="E906" s="29"/>
      <c r="F906" s="29"/>
      <c r="G906" s="29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" x14ac:dyDescent="0.15">
      <c r="A907" s="28"/>
      <c r="B907" s="28"/>
      <c r="C907" s="28"/>
      <c r="D907" s="28"/>
      <c r="E907" s="29"/>
      <c r="F907" s="29"/>
      <c r="G907" s="29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" x14ac:dyDescent="0.15">
      <c r="A908" s="28"/>
      <c r="B908" s="28"/>
      <c r="C908" s="28"/>
      <c r="D908" s="28"/>
      <c r="E908" s="29"/>
      <c r="F908" s="29"/>
      <c r="G908" s="29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" x14ac:dyDescent="0.15">
      <c r="A909" s="28"/>
      <c r="B909" s="28"/>
      <c r="C909" s="28"/>
      <c r="D909" s="28"/>
      <c r="E909" s="29"/>
      <c r="F909" s="29"/>
      <c r="G909" s="29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" x14ac:dyDescent="0.15">
      <c r="A910" s="28"/>
      <c r="B910" s="28"/>
      <c r="C910" s="28"/>
      <c r="D910" s="28"/>
      <c r="E910" s="29"/>
      <c r="F910" s="29"/>
      <c r="G910" s="29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" x14ac:dyDescent="0.15">
      <c r="A911" s="28"/>
      <c r="B911" s="28"/>
      <c r="C911" s="28"/>
      <c r="D911" s="28"/>
      <c r="E911" s="29"/>
      <c r="F911" s="29"/>
      <c r="G911" s="29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" x14ac:dyDescent="0.15">
      <c r="A912" s="28"/>
      <c r="B912" s="28"/>
      <c r="C912" s="28"/>
      <c r="D912" s="28"/>
      <c r="E912" s="29"/>
      <c r="F912" s="29"/>
      <c r="G912" s="29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" x14ac:dyDescent="0.15">
      <c r="A913" s="28"/>
      <c r="B913" s="28"/>
      <c r="C913" s="28"/>
      <c r="D913" s="28"/>
      <c r="E913" s="29"/>
      <c r="F913" s="29"/>
      <c r="G913" s="29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</sheetData>
  <conditionalFormatting sqref="E2:G913">
    <cfRule type="cellIs" dxfId="88" priority="1" operator="greaterThan">
      <formula>0</formula>
    </cfRule>
    <cfRule type="cellIs" dxfId="87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35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2.6640625" customWidth="1"/>
    <col min="4" max="4" width="10.1640625" customWidth="1"/>
    <col min="5" max="5" width="11.83203125" customWidth="1"/>
    <col min="6" max="6" width="11.6640625" customWidth="1"/>
    <col min="8" max="8" width="26.16406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17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" x14ac:dyDescent="0.2">
      <c r="A4" s="1"/>
      <c r="B4" s="1"/>
      <c r="C4" s="1" t="s">
        <v>182</v>
      </c>
      <c r="D4" s="36">
        <v>4030</v>
      </c>
      <c r="E4" s="8">
        <v>0</v>
      </c>
      <c r="F4" s="37">
        <v>-5000</v>
      </c>
      <c r="G4" s="10"/>
      <c r="H4" s="34"/>
      <c r="I4" s="1" t="s">
        <v>183</v>
      </c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" x14ac:dyDescent="0.2">
      <c r="A5" s="1"/>
      <c r="B5" s="25"/>
      <c r="C5" s="36"/>
      <c r="D5" s="38"/>
      <c r="E5" s="38"/>
      <c r="F5" s="38"/>
      <c r="G5" s="10"/>
      <c r="H5" s="34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" x14ac:dyDescent="0.2">
      <c r="A6" s="1"/>
      <c r="B6" s="1"/>
      <c r="C6" s="25" t="s">
        <v>80</v>
      </c>
      <c r="D6" s="38"/>
      <c r="E6" s="8">
        <f t="shared" ref="E6:F6" si="0">SUM(E4:E5)</f>
        <v>0</v>
      </c>
      <c r="F6" s="37">
        <f t="shared" si="0"/>
        <v>-5000</v>
      </c>
      <c r="G6" s="10">
        <f>E6+F6</f>
        <v>-5000</v>
      </c>
      <c r="H6" s="34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/>
      <c r="D7" s="1"/>
      <c r="E7" s="10"/>
      <c r="F7" s="10"/>
      <c r="G7" s="10"/>
      <c r="H7" s="34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25" t="s">
        <v>81</v>
      </c>
      <c r="C8" s="1"/>
      <c r="D8" s="1"/>
      <c r="E8" s="10"/>
      <c r="F8" s="10"/>
      <c r="G8" s="10"/>
      <c r="H8" s="34"/>
      <c r="I8" s="1"/>
      <c r="J8" s="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1" t="s">
        <v>83</v>
      </c>
      <c r="D9" s="1"/>
      <c r="E9" s="10">
        <v>0</v>
      </c>
      <c r="F9" s="10">
        <v>-750</v>
      </c>
      <c r="G9" s="10"/>
      <c r="H9" s="34"/>
      <c r="I9" s="1"/>
      <c r="J9" s="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1"/>
      <c r="C10" s="1"/>
      <c r="D10" s="1"/>
      <c r="E10" s="10"/>
      <c r="F10" s="10"/>
      <c r="G10" s="10"/>
      <c r="H10" s="34"/>
      <c r="I10" s="1"/>
      <c r="J10" s="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1"/>
      <c r="C11" s="25" t="s">
        <v>80</v>
      </c>
      <c r="D11" s="1"/>
      <c r="E11" s="10">
        <f t="shared" ref="E11:F11" si="1">SUM(E9)</f>
        <v>0</v>
      </c>
      <c r="F11" s="10">
        <f t="shared" si="1"/>
        <v>-750</v>
      </c>
      <c r="G11" s="10">
        <f>SUM(E11:F11)</f>
        <v>-750</v>
      </c>
      <c r="H11" s="34"/>
      <c r="I11" s="1"/>
      <c r="J11" s="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/>
      <c r="D12" s="1"/>
      <c r="E12" s="10"/>
      <c r="F12" s="10"/>
      <c r="G12" s="10"/>
      <c r="H12" s="34"/>
      <c r="I12" s="1"/>
      <c r="J12" s="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25" t="s">
        <v>184</v>
      </c>
      <c r="C13" s="25"/>
      <c r="D13" s="1"/>
      <c r="E13" s="10"/>
      <c r="F13" s="10"/>
      <c r="G13" s="10"/>
      <c r="I13" s="34" t="s">
        <v>185</v>
      </c>
      <c r="J13" s="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25"/>
      <c r="C14" s="1" t="s">
        <v>186</v>
      </c>
      <c r="D14" s="1">
        <v>7630</v>
      </c>
      <c r="E14" s="10">
        <v>0</v>
      </c>
      <c r="F14" s="10">
        <v>-1500</v>
      </c>
      <c r="G14" s="10"/>
      <c r="H14" s="34" t="s">
        <v>187</v>
      </c>
      <c r="I14" s="1"/>
      <c r="J14" s="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 t="s">
        <v>188</v>
      </c>
      <c r="D15" s="1">
        <v>5010</v>
      </c>
      <c r="E15" s="10">
        <v>0</v>
      </c>
      <c r="F15" s="10">
        <v>-7500</v>
      </c>
      <c r="G15" s="10"/>
      <c r="I15" s="1" t="s">
        <v>189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25"/>
      <c r="C16" s="1" t="s">
        <v>190</v>
      </c>
      <c r="D16" s="1">
        <v>6150</v>
      </c>
      <c r="E16" s="10">
        <v>0</v>
      </c>
      <c r="F16" s="10">
        <v>-500</v>
      </c>
      <c r="G16" s="10"/>
      <c r="H16" s="1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25"/>
      <c r="C17" s="1" t="s">
        <v>191</v>
      </c>
      <c r="D17" s="1">
        <v>4045</v>
      </c>
      <c r="E17" s="10">
        <v>0</v>
      </c>
      <c r="F17" s="10">
        <v>-2000</v>
      </c>
      <c r="G17" s="10"/>
      <c r="H17" s="1" t="s">
        <v>192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 t="s">
        <v>177</v>
      </c>
      <c r="D18" s="1">
        <v>3029</v>
      </c>
      <c r="E18" s="10">
        <v>2000</v>
      </c>
      <c r="F18" s="10">
        <v>0</v>
      </c>
      <c r="G18" s="10"/>
      <c r="H18" s="1" t="s">
        <v>193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1" t="s">
        <v>172</v>
      </c>
      <c r="D19" s="1">
        <v>4029</v>
      </c>
      <c r="E19" s="10">
        <v>0</v>
      </c>
      <c r="F19" s="10">
        <v>-2000</v>
      </c>
      <c r="G19" s="10"/>
      <c r="H19" s="1" t="s">
        <v>193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1"/>
      <c r="D20" s="1"/>
      <c r="E20" s="10"/>
      <c r="F20" s="10"/>
      <c r="G20" s="10"/>
      <c r="H20" s="1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1"/>
      <c r="C21" s="25" t="s">
        <v>80</v>
      </c>
      <c r="D21" s="1"/>
      <c r="E21" s="10">
        <f t="shared" ref="E21:F21" si="2">SUM(E14:E19)</f>
        <v>2000</v>
      </c>
      <c r="F21" s="10">
        <f t="shared" si="2"/>
        <v>-13500</v>
      </c>
      <c r="G21" s="10">
        <f>E21+F21</f>
        <v>-11500</v>
      </c>
      <c r="H21" s="1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1"/>
      <c r="C22" s="1"/>
      <c r="D22" s="1"/>
      <c r="E22" s="10"/>
      <c r="F22" s="10"/>
      <c r="G22" s="10"/>
      <c r="H22" s="1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25" t="s">
        <v>66</v>
      </c>
      <c r="C23" s="1"/>
      <c r="D23" s="1"/>
      <c r="E23" s="10"/>
      <c r="F23" s="10"/>
      <c r="G23" s="10"/>
      <c r="H23" s="1"/>
      <c r="I23" s="28" t="s">
        <v>194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x14ac:dyDescent="0.2">
      <c r="A24" s="1"/>
      <c r="B24" s="1"/>
      <c r="C24" s="1" t="s">
        <v>195</v>
      </c>
      <c r="D24" s="1">
        <v>6541</v>
      </c>
      <c r="E24" s="10">
        <v>0</v>
      </c>
      <c r="F24" s="10">
        <v>-8000</v>
      </c>
      <c r="G24" s="10"/>
      <c r="H24" s="1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1"/>
      <c r="B25" s="1"/>
      <c r="C25" s="1" t="s">
        <v>83</v>
      </c>
      <c r="D25" s="1">
        <v>7691</v>
      </c>
      <c r="E25" s="10">
        <v>0</v>
      </c>
      <c r="F25" s="10">
        <v>-750</v>
      </c>
      <c r="G25" s="10"/>
      <c r="H25" s="1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1"/>
      <c r="B26" s="1"/>
      <c r="C26" s="1" t="s">
        <v>78</v>
      </c>
      <c r="D26" s="1">
        <v>4045</v>
      </c>
      <c r="E26" s="10">
        <v>0</v>
      </c>
      <c r="F26" s="10">
        <v>-1500</v>
      </c>
      <c r="G26" s="10"/>
      <c r="H26" s="1"/>
      <c r="I26" s="28" t="s">
        <v>196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1"/>
      <c r="B27" s="1"/>
      <c r="C27" s="1" t="s">
        <v>82</v>
      </c>
      <c r="D27" s="1">
        <v>7631</v>
      </c>
      <c r="E27" s="10">
        <v>0</v>
      </c>
      <c r="F27" s="10">
        <v>-1250</v>
      </c>
      <c r="G27" s="10"/>
      <c r="H27" s="1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" x14ac:dyDescent="0.2">
      <c r="A28" s="1"/>
      <c r="B28" s="1"/>
      <c r="C28" s="1"/>
      <c r="D28" s="1"/>
      <c r="E28" s="10"/>
      <c r="F28" s="10"/>
      <c r="G28" s="10"/>
      <c r="H28" s="1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" x14ac:dyDescent="0.2">
      <c r="A29" s="1"/>
      <c r="B29" s="1"/>
      <c r="C29" s="25" t="s">
        <v>80</v>
      </c>
      <c r="D29" s="1"/>
      <c r="E29" s="10">
        <f t="shared" ref="E29:F29" si="3">SUM(E24:E27)</f>
        <v>0</v>
      </c>
      <c r="F29" s="10">
        <f t="shared" si="3"/>
        <v>-11500</v>
      </c>
      <c r="G29" s="10">
        <f>E29+F29</f>
        <v>-11500</v>
      </c>
      <c r="H29" s="1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" x14ac:dyDescent="0.2">
      <c r="A30" s="1"/>
      <c r="B30" s="1"/>
      <c r="C30" s="1"/>
      <c r="D30" s="1"/>
      <c r="E30" s="10"/>
      <c r="F30" s="10"/>
      <c r="G30" s="10"/>
      <c r="H30" s="1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" x14ac:dyDescent="0.2">
      <c r="A31" s="1"/>
      <c r="B31" s="1"/>
      <c r="C31" s="25" t="s">
        <v>102</v>
      </c>
      <c r="D31" s="1"/>
      <c r="E31" s="31">
        <f t="shared" ref="E31:F31" si="4">SUMIFS(E2:E30,$C2:$C30,"Subsubtotal")</f>
        <v>2000</v>
      </c>
      <c r="F31" s="31">
        <f t="shared" si="4"/>
        <v>-30750</v>
      </c>
      <c r="G31" s="10">
        <f>SUM(G2:G30)</f>
        <v>-28750</v>
      </c>
      <c r="H31" s="1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" x14ac:dyDescent="0.2">
      <c r="A32" s="1"/>
      <c r="B32" s="1"/>
      <c r="C32" s="1"/>
      <c r="D32" s="1"/>
      <c r="E32" s="10"/>
      <c r="F32" s="10"/>
      <c r="G32" s="10"/>
      <c r="H32" s="1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x14ac:dyDescent="0.2">
      <c r="A33" s="1"/>
      <c r="B33" s="1"/>
      <c r="C33" s="1"/>
      <c r="D33" s="1"/>
      <c r="E33" s="10"/>
      <c r="F33" s="10"/>
      <c r="G33" s="10"/>
      <c r="H33" s="1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x14ac:dyDescent="0.2">
      <c r="A34" s="1"/>
      <c r="B34" s="1"/>
      <c r="C34" s="1"/>
      <c r="D34" s="1"/>
      <c r="E34" s="10"/>
      <c r="F34" s="10"/>
      <c r="G34" s="10"/>
      <c r="H34" s="1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x14ac:dyDescent="0.2">
      <c r="A35" s="1"/>
      <c r="B35" s="1"/>
      <c r="C35" s="1"/>
      <c r="D35" s="1"/>
      <c r="E35" s="10"/>
      <c r="F35" s="10"/>
      <c r="G35" s="10"/>
      <c r="H35" s="1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" x14ac:dyDescent="0.2">
      <c r="A36" s="1"/>
      <c r="B36" s="1"/>
      <c r="C36" s="1"/>
      <c r="D36" s="1"/>
      <c r="E36" s="10"/>
      <c r="F36" s="10"/>
      <c r="G36" s="10"/>
      <c r="H36" s="1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" x14ac:dyDescent="0.2">
      <c r="A37" s="1"/>
      <c r="B37" s="1"/>
      <c r="C37" s="1"/>
      <c r="D37" s="1"/>
      <c r="E37" s="10"/>
      <c r="F37" s="10"/>
      <c r="G37" s="10"/>
      <c r="H37" s="1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" x14ac:dyDescent="0.2">
      <c r="A38" s="1"/>
      <c r="B38" s="1"/>
      <c r="C38" s="1"/>
      <c r="D38" s="1"/>
      <c r="E38" s="10"/>
      <c r="F38" s="10"/>
      <c r="G38" s="10"/>
      <c r="H38" s="1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" x14ac:dyDescent="0.2">
      <c r="A39" s="1"/>
      <c r="B39" s="1"/>
      <c r="C39" s="1"/>
      <c r="D39" s="1"/>
      <c r="E39" s="10"/>
      <c r="F39" s="10"/>
      <c r="G39" s="10"/>
      <c r="H39" s="1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" x14ac:dyDescent="0.2">
      <c r="A40" s="1"/>
      <c r="B40" s="1"/>
      <c r="C40" s="1"/>
      <c r="D40" s="1"/>
      <c r="E40" s="10"/>
      <c r="F40" s="10"/>
      <c r="G40" s="10"/>
      <c r="H40" s="1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x14ac:dyDescent="0.2">
      <c r="A41" s="1"/>
      <c r="B41" s="1"/>
      <c r="C41" s="1"/>
      <c r="D41" s="1"/>
      <c r="E41" s="10"/>
      <c r="F41" s="10"/>
      <c r="G41" s="10"/>
      <c r="H41" s="1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x14ac:dyDescent="0.2">
      <c r="A42" s="1"/>
      <c r="B42" s="1"/>
      <c r="C42" s="1"/>
      <c r="D42" s="1"/>
      <c r="E42" s="10"/>
      <c r="F42" s="10"/>
      <c r="G42" s="10"/>
      <c r="H42" s="1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" x14ac:dyDescent="0.2">
      <c r="A43" s="1"/>
      <c r="B43" s="1"/>
      <c r="C43" s="1"/>
      <c r="D43" s="1"/>
      <c r="E43" s="10"/>
      <c r="F43" s="10"/>
      <c r="G43" s="10"/>
      <c r="H43" s="1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" x14ac:dyDescent="0.2">
      <c r="A44" s="1"/>
      <c r="B44" s="1"/>
      <c r="C44" s="1"/>
      <c r="D44" s="1"/>
      <c r="E44" s="10"/>
      <c r="F44" s="10"/>
      <c r="G44" s="10"/>
      <c r="H44" s="1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" x14ac:dyDescent="0.2">
      <c r="A45" s="1"/>
      <c r="B45" s="1"/>
      <c r="C45" s="1"/>
      <c r="D45" s="1"/>
      <c r="E45" s="10"/>
      <c r="F45" s="10"/>
      <c r="G45" s="10"/>
      <c r="H45" s="1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" x14ac:dyDescent="0.2">
      <c r="A46" s="1"/>
      <c r="B46" s="1"/>
      <c r="C46" s="1"/>
      <c r="D46" s="1"/>
      <c r="E46" s="10"/>
      <c r="F46" s="10"/>
      <c r="G46" s="10"/>
      <c r="H46" s="1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" x14ac:dyDescent="0.2">
      <c r="A47" s="1"/>
      <c r="B47" s="1"/>
      <c r="C47" s="1"/>
      <c r="D47" s="1"/>
      <c r="E47" s="10"/>
      <c r="F47" s="10"/>
      <c r="G47" s="10"/>
      <c r="H47" s="1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" x14ac:dyDescent="0.2">
      <c r="A48" s="1"/>
      <c r="B48" s="1"/>
      <c r="C48" s="1"/>
      <c r="D48" s="1"/>
      <c r="E48" s="10"/>
      <c r="F48" s="10"/>
      <c r="G48" s="10"/>
      <c r="H48" s="1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" x14ac:dyDescent="0.2">
      <c r="A49" s="1"/>
      <c r="B49" s="1"/>
      <c r="C49" s="1"/>
      <c r="D49" s="1"/>
      <c r="E49" s="10"/>
      <c r="F49" s="10"/>
      <c r="G49" s="10"/>
      <c r="H49" s="1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" x14ac:dyDescent="0.2">
      <c r="A50" s="1"/>
      <c r="B50" s="1"/>
      <c r="C50" s="1"/>
      <c r="D50" s="1"/>
      <c r="E50" s="10"/>
      <c r="F50" s="10"/>
      <c r="G50" s="10"/>
      <c r="H50" s="1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" x14ac:dyDescent="0.2">
      <c r="A51" s="1"/>
      <c r="B51" s="1"/>
      <c r="C51" s="1"/>
      <c r="D51" s="1"/>
      <c r="E51" s="10"/>
      <c r="F51" s="10"/>
      <c r="G51" s="10"/>
      <c r="H51" s="1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" x14ac:dyDescent="0.2">
      <c r="A52" s="1"/>
      <c r="B52" s="1"/>
      <c r="C52" s="1"/>
      <c r="D52" s="1"/>
      <c r="E52" s="10"/>
      <c r="F52" s="10"/>
      <c r="G52" s="10"/>
      <c r="H52" s="1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" x14ac:dyDescent="0.2">
      <c r="A53" s="1"/>
      <c r="B53" s="1"/>
      <c r="C53" s="1"/>
      <c r="D53" s="1"/>
      <c r="E53" s="10"/>
      <c r="F53" s="10"/>
      <c r="G53" s="10"/>
      <c r="H53" s="1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" x14ac:dyDescent="0.2">
      <c r="A54" s="1"/>
      <c r="B54" s="1"/>
      <c r="C54" s="1"/>
      <c r="D54" s="1"/>
      <c r="E54" s="10"/>
      <c r="F54" s="10"/>
      <c r="G54" s="10"/>
      <c r="H54" s="1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" x14ac:dyDescent="0.2">
      <c r="A55" s="1"/>
      <c r="B55" s="1"/>
      <c r="C55" s="1"/>
      <c r="D55" s="1"/>
      <c r="E55" s="10"/>
      <c r="F55" s="10"/>
      <c r="G55" s="10"/>
      <c r="H55" s="1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" x14ac:dyDescent="0.2">
      <c r="A56" s="1"/>
      <c r="B56" s="1"/>
      <c r="C56" s="1"/>
      <c r="D56" s="1"/>
      <c r="E56" s="10"/>
      <c r="F56" s="10"/>
      <c r="G56" s="10"/>
      <c r="H56" s="1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" x14ac:dyDescent="0.2">
      <c r="A57" s="1"/>
      <c r="B57" s="1"/>
      <c r="C57" s="1"/>
      <c r="D57" s="1"/>
      <c r="E57" s="10"/>
      <c r="F57" s="10"/>
      <c r="G57" s="10"/>
      <c r="H57" s="1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" x14ac:dyDescent="0.2">
      <c r="A58" s="1"/>
      <c r="B58" s="1"/>
      <c r="C58" s="1"/>
      <c r="D58" s="1"/>
      <c r="E58" s="10"/>
      <c r="F58" s="10"/>
      <c r="G58" s="10"/>
      <c r="H58" s="1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" x14ac:dyDescent="0.2">
      <c r="A59" s="1"/>
      <c r="B59" s="1"/>
      <c r="C59" s="1"/>
      <c r="D59" s="1"/>
      <c r="E59" s="10"/>
      <c r="F59" s="10"/>
      <c r="G59" s="10"/>
      <c r="H59" s="1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" x14ac:dyDescent="0.2">
      <c r="A60" s="1"/>
      <c r="B60" s="1"/>
      <c r="C60" s="1"/>
      <c r="D60" s="1"/>
      <c r="E60" s="10"/>
      <c r="F60" s="10"/>
      <c r="G60" s="10"/>
      <c r="H60" s="1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" x14ac:dyDescent="0.2">
      <c r="A61" s="1"/>
      <c r="B61" s="1"/>
      <c r="C61" s="1"/>
      <c r="D61" s="1"/>
      <c r="E61" s="10"/>
      <c r="F61" s="10"/>
      <c r="G61" s="10"/>
      <c r="H61" s="1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" x14ac:dyDescent="0.2">
      <c r="A62" s="1"/>
      <c r="B62" s="1"/>
      <c r="C62" s="1"/>
      <c r="D62" s="1"/>
      <c r="E62" s="10"/>
      <c r="F62" s="10"/>
      <c r="G62" s="10"/>
      <c r="H62" s="1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" x14ac:dyDescent="0.2">
      <c r="A63" s="1"/>
      <c r="B63" s="1"/>
      <c r="C63" s="1"/>
      <c r="D63" s="1"/>
      <c r="E63" s="10"/>
      <c r="F63" s="10"/>
      <c r="G63" s="10"/>
      <c r="H63" s="1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" x14ac:dyDescent="0.2">
      <c r="A64" s="1"/>
      <c r="B64" s="1"/>
      <c r="C64" s="1"/>
      <c r="D64" s="1"/>
      <c r="E64" s="10"/>
      <c r="F64" s="10"/>
      <c r="G64" s="10"/>
      <c r="H64" s="1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" x14ac:dyDescent="0.2">
      <c r="A65" s="1"/>
      <c r="B65" s="1"/>
      <c r="C65" s="1"/>
      <c r="D65" s="1"/>
      <c r="E65" s="10"/>
      <c r="F65" s="10"/>
      <c r="G65" s="10"/>
      <c r="H65" s="1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" x14ac:dyDescent="0.2">
      <c r="A66" s="1"/>
      <c r="B66" s="1"/>
      <c r="C66" s="1"/>
      <c r="D66" s="1"/>
      <c r="E66" s="10"/>
      <c r="F66" s="10"/>
      <c r="G66" s="10"/>
      <c r="H66" s="1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" x14ac:dyDescent="0.2">
      <c r="A67" s="1"/>
      <c r="B67" s="1"/>
      <c r="C67" s="1"/>
      <c r="D67" s="1"/>
      <c r="E67" s="10"/>
      <c r="F67" s="10"/>
      <c r="G67" s="10"/>
      <c r="H67" s="1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" x14ac:dyDescent="0.2">
      <c r="A68" s="1"/>
      <c r="B68" s="1"/>
      <c r="C68" s="1"/>
      <c r="D68" s="1"/>
      <c r="E68" s="10"/>
      <c r="F68" s="10"/>
      <c r="G68" s="10"/>
      <c r="H68" s="1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" x14ac:dyDescent="0.2">
      <c r="A69" s="1"/>
      <c r="B69" s="1"/>
      <c r="C69" s="1"/>
      <c r="D69" s="1"/>
      <c r="E69" s="10"/>
      <c r="F69" s="10"/>
      <c r="G69" s="10"/>
      <c r="H69" s="1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" x14ac:dyDescent="0.2">
      <c r="A70" s="1"/>
      <c r="B70" s="1"/>
      <c r="C70" s="1"/>
      <c r="D70" s="1"/>
      <c r="E70" s="10"/>
      <c r="F70" s="10"/>
      <c r="G70" s="10"/>
      <c r="H70" s="1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" x14ac:dyDescent="0.2">
      <c r="A71" s="1"/>
      <c r="B71" s="1"/>
      <c r="C71" s="1"/>
      <c r="D71" s="1"/>
      <c r="E71" s="10"/>
      <c r="F71" s="10"/>
      <c r="G71" s="10"/>
      <c r="H71" s="1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" x14ac:dyDescent="0.2">
      <c r="A72" s="1"/>
      <c r="B72" s="1"/>
      <c r="C72" s="1"/>
      <c r="D72" s="1"/>
      <c r="E72" s="10"/>
      <c r="F72" s="10"/>
      <c r="G72" s="10"/>
      <c r="H72" s="1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" x14ac:dyDescent="0.2">
      <c r="A73" s="1"/>
      <c r="B73" s="1"/>
      <c r="C73" s="1"/>
      <c r="D73" s="1"/>
      <c r="E73" s="10"/>
      <c r="F73" s="10"/>
      <c r="G73" s="10"/>
      <c r="H73" s="1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" x14ac:dyDescent="0.2">
      <c r="A74" s="1"/>
      <c r="B74" s="1"/>
      <c r="C74" s="1"/>
      <c r="D74" s="1"/>
      <c r="E74" s="10"/>
      <c r="F74" s="10"/>
      <c r="G74" s="10"/>
      <c r="H74" s="1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" x14ac:dyDescent="0.2">
      <c r="A75" s="1"/>
      <c r="B75" s="1"/>
      <c r="C75" s="1"/>
      <c r="D75" s="1"/>
      <c r="E75" s="10"/>
      <c r="F75" s="10"/>
      <c r="G75" s="10"/>
      <c r="H75" s="1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" x14ac:dyDescent="0.2">
      <c r="A76" s="1"/>
      <c r="B76" s="1"/>
      <c r="C76" s="1"/>
      <c r="D76" s="1"/>
      <c r="E76" s="10"/>
      <c r="F76" s="10"/>
      <c r="G76" s="10"/>
      <c r="H76" s="1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" x14ac:dyDescent="0.2">
      <c r="A77" s="1"/>
      <c r="B77" s="1"/>
      <c r="C77" s="1"/>
      <c r="D77" s="1"/>
      <c r="E77" s="10"/>
      <c r="F77" s="10"/>
      <c r="G77" s="10"/>
      <c r="H77" s="1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" x14ac:dyDescent="0.2">
      <c r="A78" s="1"/>
      <c r="B78" s="1"/>
      <c r="C78" s="1"/>
      <c r="D78" s="1"/>
      <c r="E78" s="10"/>
      <c r="F78" s="10"/>
      <c r="G78" s="10"/>
      <c r="H78" s="1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" x14ac:dyDescent="0.2">
      <c r="A79" s="1"/>
      <c r="B79" s="1"/>
      <c r="C79" s="1"/>
      <c r="D79" s="1"/>
      <c r="E79" s="10"/>
      <c r="F79" s="10"/>
      <c r="G79" s="10"/>
      <c r="H79" s="1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" x14ac:dyDescent="0.2">
      <c r="A80" s="1"/>
      <c r="B80" s="1"/>
      <c r="C80" s="1"/>
      <c r="D80" s="1"/>
      <c r="E80" s="10"/>
      <c r="F80" s="10"/>
      <c r="G80" s="10"/>
      <c r="H80" s="1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" x14ac:dyDescent="0.2">
      <c r="A81" s="1"/>
      <c r="B81" s="1"/>
      <c r="C81" s="1"/>
      <c r="D81" s="1"/>
      <c r="E81" s="10"/>
      <c r="F81" s="10"/>
      <c r="G81" s="10"/>
      <c r="H81" s="1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" x14ac:dyDescent="0.2">
      <c r="A82" s="1"/>
      <c r="B82" s="1"/>
      <c r="C82" s="1"/>
      <c r="D82" s="1"/>
      <c r="E82" s="10"/>
      <c r="F82" s="10"/>
      <c r="G82" s="10"/>
      <c r="H82" s="1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" x14ac:dyDescent="0.2">
      <c r="A83" s="1"/>
      <c r="B83" s="1"/>
      <c r="C83" s="1"/>
      <c r="D83" s="1"/>
      <c r="E83" s="10"/>
      <c r="F83" s="10"/>
      <c r="G83" s="10"/>
      <c r="H83" s="1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" x14ac:dyDescent="0.2">
      <c r="A84" s="1"/>
      <c r="B84" s="1"/>
      <c r="C84" s="1"/>
      <c r="D84" s="1"/>
      <c r="E84" s="10"/>
      <c r="F84" s="10"/>
      <c r="G84" s="10"/>
      <c r="H84" s="1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" x14ac:dyDescent="0.2">
      <c r="A85" s="1"/>
      <c r="B85" s="1"/>
      <c r="C85" s="1"/>
      <c r="D85" s="1"/>
      <c r="E85" s="10"/>
      <c r="F85" s="10"/>
      <c r="G85" s="10"/>
      <c r="H85" s="1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" x14ac:dyDescent="0.2">
      <c r="A86" s="1"/>
      <c r="B86" s="1"/>
      <c r="C86" s="1"/>
      <c r="D86" s="1"/>
      <c r="E86" s="10"/>
      <c r="F86" s="10"/>
      <c r="G86" s="10"/>
      <c r="H86" s="1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" x14ac:dyDescent="0.2">
      <c r="A87" s="1"/>
      <c r="B87" s="1"/>
      <c r="C87" s="1"/>
      <c r="D87" s="1"/>
      <c r="E87" s="10"/>
      <c r="F87" s="10"/>
      <c r="G87" s="10"/>
      <c r="H87" s="1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" x14ac:dyDescent="0.2">
      <c r="A88" s="1"/>
      <c r="B88" s="1"/>
      <c r="C88" s="1"/>
      <c r="D88" s="1"/>
      <c r="E88" s="10"/>
      <c r="F88" s="10"/>
      <c r="G88" s="10"/>
      <c r="H88" s="1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" x14ac:dyDescent="0.2">
      <c r="A89" s="1"/>
      <c r="B89" s="1"/>
      <c r="C89" s="1"/>
      <c r="D89" s="1"/>
      <c r="E89" s="10"/>
      <c r="F89" s="10"/>
      <c r="G89" s="10"/>
      <c r="H89" s="1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" x14ac:dyDescent="0.2">
      <c r="A90" s="1"/>
      <c r="B90" s="1"/>
      <c r="C90" s="1"/>
      <c r="D90" s="1"/>
      <c r="E90" s="10"/>
      <c r="F90" s="10"/>
      <c r="G90" s="10"/>
      <c r="H90" s="1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" x14ac:dyDescent="0.2">
      <c r="A91" s="1"/>
      <c r="B91" s="1"/>
      <c r="C91" s="1"/>
      <c r="D91" s="1"/>
      <c r="E91" s="10"/>
      <c r="F91" s="10"/>
      <c r="G91" s="10"/>
      <c r="H91" s="1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x14ac:dyDescent="0.15">
      <c r="A92" s="28"/>
      <c r="B92" s="28"/>
      <c r="C92" s="28"/>
      <c r="D92" s="28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x14ac:dyDescent="0.15">
      <c r="A93" s="28"/>
      <c r="B93" s="28"/>
      <c r="C93" s="28"/>
      <c r="D93" s="28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x14ac:dyDescent="0.15">
      <c r="A94" s="28"/>
      <c r="B94" s="28"/>
      <c r="C94" s="28"/>
      <c r="D94" s="28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x14ac:dyDescent="0.15">
      <c r="A95" s="28"/>
      <c r="B95" s="28"/>
      <c r="C95" s="28"/>
      <c r="D95" s="28"/>
      <c r="E95" s="29"/>
      <c r="F95" s="29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x14ac:dyDescent="0.15">
      <c r="A96" s="28"/>
      <c r="B96" s="28"/>
      <c r="C96" s="28"/>
      <c r="D96" s="28"/>
      <c r="E96" s="29"/>
      <c r="F96" s="29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x14ac:dyDescent="0.15">
      <c r="A97" s="28"/>
      <c r="B97" s="28"/>
      <c r="C97" s="28"/>
      <c r="D97" s="28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x14ac:dyDescent="0.15">
      <c r="A98" s="28"/>
      <c r="B98" s="28"/>
      <c r="C98" s="28"/>
      <c r="D98" s="28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x14ac:dyDescent="0.15">
      <c r="A99" s="28"/>
      <c r="B99" s="28"/>
      <c r="C99" s="28"/>
      <c r="D99" s="28"/>
      <c r="E99" s="29"/>
      <c r="F99" s="29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x14ac:dyDescent="0.15">
      <c r="A100" s="28"/>
      <c r="B100" s="28"/>
      <c r="C100" s="28"/>
      <c r="D100" s="28"/>
      <c r="E100" s="29"/>
      <c r="F100" s="29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x14ac:dyDescent="0.15">
      <c r="A101" s="28"/>
      <c r="B101" s="28"/>
      <c r="C101" s="28"/>
      <c r="D101" s="28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x14ac:dyDescent="0.15">
      <c r="A102" s="28"/>
      <c r="B102" s="28"/>
      <c r="C102" s="28"/>
      <c r="D102" s="28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x14ac:dyDescent="0.15">
      <c r="A103" s="28"/>
      <c r="B103" s="28"/>
      <c r="C103" s="28"/>
      <c r="D103" s="28"/>
      <c r="E103" s="29"/>
      <c r="F103" s="29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x14ac:dyDescent="0.15">
      <c r="A104" s="28"/>
      <c r="B104" s="28"/>
      <c r="C104" s="28"/>
      <c r="D104" s="28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x14ac:dyDescent="0.15">
      <c r="A105" s="28"/>
      <c r="B105" s="28"/>
      <c r="C105" s="28"/>
      <c r="D105" s="28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x14ac:dyDescent="0.15">
      <c r="A106" s="28"/>
      <c r="B106" s="28"/>
      <c r="C106" s="28"/>
      <c r="D106" s="28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x14ac:dyDescent="0.15">
      <c r="A107" s="28"/>
      <c r="B107" s="28"/>
      <c r="C107" s="28"/>
      <c r="D107" s="28"/>
      <c r="E107" s="29"/>
      <c r="F107" s="29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x14ac:dyDescent="0.15">
      <c r="A108" s="28"/>
      <c r="B108" s="28"/>
      <c r="C108" s="28"/>
      <c r="D108" s="28"/>
      <c r="E108" s="29"/>
      <c r="F108" s="29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x14ac:dyDescent="0.15">
      <c r="A109" s="28"/>
      <c r="B109" s="28"/>
      <c r="C109" s="28"/>
      <c r="D109" s="28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x14ac:dyDescent="0.15">
      <c r="A110" s="28"/>
      <c r="B110" s="28"/>
      <c r="C110" s="28"/>
      <c r="D110" s="28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x14ac:dyDescent="0.15">
      <c r="A111" s="28"/>
      <c r="B111" s="28"/>
      <c r="C111" s="28"/>
      <c r="D111" s="28"/>
      <c r="E111" s="29"/>
      <c r="F111" s="29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x14ac:dyDescent="0.15">
      <c r="A112" s="28"/>
      <c r="B112" s="28"/>
      <c r="C112" s="28"/>
      <c r="D112" s="28"/>
      <c r="E112" s="29"/>
      <c r="F112" s="29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x14ac:dyDescent="0.15">
      <c r="A113" s="28"/>
      <c r="B113" s="28"/>
      <c r="C113" s="28"/>
      <c r="D113" s="28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x14ac:dyDescent="0.15">
      <c r="A114" s="28"/>
      <c r="B114" s="28"/>
      <c r="C114" s="28"/>
      <c r="D114" s="28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x14ac:dyDescent="0.15">
      <c r="A115" s="28"/>
      <c r="B115" s="28"/>
      <c r="C115" s="28"/>
      <c r="D115" s="28"/>
      <c r="E115" s="29"/>
      <c r="F115" s="29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x14ac:dyDescent="0.15">
      <c r="A116" s="28"/>
      <c r="B116" s="28"/>
      <c r="C116" s="28"/>
      <c r="D116" s="28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x14ac:dyDescent="0.15">
      <c r="A117" s="28"/>
      <c r="B117" s="28"/>
      <c r="C117" s="28"/>
      <c r="D117" s="28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x14ac:dyDescent="0.15">
      <c r="A118" s="28"/>
      <c r="B118" s="28"/>
      <c r="C118" s="28"/>
      <c r="D118" s="28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x14ac:dyDescent="0.15">
      <c r="A119" s="28"/>
      <c r="B119" s="28"/>
      <c r="C119" s="28"/>
      <c r="D119" s="28"/>
      <c r="E119" s="29"/>
      <c r="F119" s="29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x14ac:dyDescent="0.15">
      <c r="A120" s="28"/>
      <c r="B120" s="28"/>
      <c r="C120" s="28"/>
      <c r="D120" s="28"/>
      <c r="E120" s="29"/>
      <c r="F120" s="29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x14ac:dyDescent="0.15">
      <c r="A121" s="28"/>
      <c r="B121" s="28"/>
      <c r="C121" s="28"/>
      <c r="D121" s="28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x14ac:dyDescent="0.15">
      <c r="A122" s="28"/>
      <c r="B122" s="28"/>
      <c r="C122" s="28"/>
      <c r="D122" s="28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x14ac:dyDescent="0.15">
      <c r="A123" s="28"/>
      <c r="B123" s="28"/>
      <c r="C123" s="28"/>
      <c r="D123" s="28"/>
      <c r="E123" s="29"/>
      <c r="F123" s="29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x14ac:dyDescent="0.15">
      <c r="A124" s="28"/>
      <c r="B124" s="28"/>
      <c r="C124" s="28"/>
      <c r="D124" s="28"/>
      <c r="E124" s="29"/>
      <c r="F124" s="29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x14ac:dyDescent="0.15">
      <c r="A125" s="28"/>
      <c r="B125" s="28"/>
      <c r="C125" s="28"/>
      <c r="D125" s="28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x14ac:dyDescent="0.15">
      <c r="A126" s="28"/>
      <c r="B126" s="28"/>
      <c r="C126" s="28"/>
      <c r="D126" s="28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x14ac:dyDescent="0.15">
      <c r="A127" s="28"/>
      <c r="B127" s="28"/>
      <c r="C127" s="28"/>
      <c r="D127" s="28"/>
      <c r="E127" s="29"/>
      <c r="F127" s="29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x14ac:dyDescent="0.15">
      <c r="A128" s="28"/>
      <c r="B128" s="28"/>
      <c r="C128" s="28"/>
      <c r="D128" s="28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x14ac:dyDescent="0.15">
      <c r="A129" s="28"/>
      <c r="B129" s="28"/>
      <c r="C129" s="28"/>
      <c r="D129" s="28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x14ac:dyDescent="0.15">
      <c r="A130" s="28"/>
      <c r="B130" s="28"/>
      <c r="C130" s="28"/>
      <c r="D130" s="28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x14ac:dyDescent="0.15">
      <c r="A131" s="28"/>
      <c r="B131" s="28"/>
      <c r="C131" s="28"/>
      <c r="D131" s="28"/>
      <c r="E131" s="29"/>
      <c r="F131" s="29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x14ac:dyDescent="0.15">
      <c r="A132" s="28"/>
      <c r="B132" s="28"/>
      <c r="C132" s="28"/>
      <c r="D132" s="28"/>
      <c r="E132" s="29"/>
      <c r="F132" s="29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x14ac:dyDescent="0.15">
      <c r="A133" s="28"/>
      <c r="B133" s="28"/>
      <c r="C133" s="28"/>
      <c r="D133" s="28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x14ac:dyDescent="0.15">
      <c r="A134" s="28"/>
      <c r="B134" s="28"/>
      <c r="C134" s="28"/>
      <c r="D134" s="28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x14ac:dyDescent="0.15">
      <c r="A135" s="28"/>
      <c r="B135" s="28"/>
      <c r="C135" s="28"/>
      <c r="D135" s="28"/>
      <c r="E135" s="29"/>
      <c r="F135" s="29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x14ac:dyDescent="0.15">
      <c r="A136" s="28"/>
      <c r="B136" s="28"/>
      <c r="C136" s="28"/>
      <c r="D136" s="28"/>
      <c r="E136" s="29"/>
      <c r="F136" s="29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x14ac:dyDescent="0.15">
      <c r="A137" s="28"/>
      <c r="B137" s="28"/>
      <c r="C137" s="28"/>
      <c r="D137" s="28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x14ac:dyDescent="0.15">
      <c r="A138" s="28"/>
      <c r="B138" s="28"/>
      <c r="C138" s="28"/>
      <c r="D138" s="28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x14ac:dyDescent="0.15">
      <c r="A139" s="28"/>
      <c r="B139" s="28"/>
      <c r="C139" s="28"/>
      <c r="D139" s="28"/>
      <c r="E139" s="29"/>
      <c r="F139" s="29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x14ac:dyDescent="0.15">
      <c r="A141" s="28"/>
      <c r="B141" s="28"/>
      <c r="C141" s="28"/>
      <c r="D141" s="28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x14ac:dyDescent="0.15">
      <c r="A144" s="28"/>
      <c r="B144" s="28"/>
      <c r="C144" s="28"/>
      <c r="D144" s="28"/>
      <c r="E144" s="29"/>
      <c r="F144" s="29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x14ac:dyDescent="0.15">
      <c r="A145" s="28"/>
      <c r="B145" s="28"/>
      <c r="C145" s="28"/>
      <c r="D145" s="28"/>
      <c r="E145" s="29"/>
      <c r="F145" s="29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x14ac:dyDescent="0.15">
      <c r="A146" s="28"/>
      <c r="B146" s="28"/>
      <c r="C146" s="28"/>
      <c r="D146" s="28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x14ac:dyDescent="0.15">
      <c r="A147" s="28"/>
      <c r="B147" s="28"/>
      <c r="C147" s="28"/>
      <c r="D147" s="28"/>
      <c r="E147" s="29"/>
      <c r="F147" s="29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x14ac:dyDescent="0.15">
      <c r="A148" s="28"/>
      <c r="B148" s="28"/>
      <c r="C148" s="28"/>
      <c r="D148" s="28"/>
      <c r="E148" s="29"/>
      <c r="F148" s="29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x14ac:dyDescent="0.15">
      <c r="A149" s="28"/>
      <c r="B149" s="28"/>
      <c r="C149" s="28"/>
      <c r="D149" s="28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x14ac:dyDescent="0.15">
      <c r="A150" s="28"/>
      <c r="B150" s="28"/>
      <c r="C150" s="28"/>
      <c r="D150" s="28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x14ac:dyDescent="0.15">
      <c r="A151" s="28"/>
      <c r="B151" s="28"/>
      <c r="C151" s="28"/>
      <c r="D151" s="28"/>
      <c r="E151" s="29"/>
      <c r="F151" s="29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x14ac:dyDescent="0.15">
      <c r="A152" s="28"/>
      <c r="B152" s="28"/>
      <c r="C152" s="28"/>
      <c r="D152" s="28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x14ac:dyDescent="0.15">
      <c r="A153" s="28"/>
      <c r="B153" s="28"/>
      <c r="C153" s="28"/>
      <c r="D153" s="28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x14ac:dyDescent="0.15">
      <c r="A154" s="28"/>
      <c r="B154" s="28"/>
      <c r="C154" s="28"/>
      <c r="D154" s="28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x14ac:dyDescent="0.15">
      <c r="A155" s="28"/>
      <c r="B155" s="28"/>
      <c r="C155" s="28"/>
      <c r="D155" s="28"/>
      <c r="E155" s="29"/>
      <c r="F155" s="29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x14ac:dyDescent="0.15">
      <c r="A156" s="28"/>
      <c r="B156" s="28"/>
      <c r="C156" s="28"/>
      <c r="D156" s="28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x14ac:dyDescent="0.15">
      <c r="A157" s="28"/>
      <c r="B157" s="28"/>
      <c r="C157" s="28"/>
      <c r="D157" s="28"/>
      <c r="E157" s="29"/>
      <c r="F157" s="29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x14ac:dyDescent="0.15">
      <c r="A158" s="28"/>
      <c r="B158" s="28"/>
      <c r="C158" s="28"/>
      <c r="D158" s="28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x14ac:dyDescent="0.15">
      <c r="A159" s="28"/>
      <c r="B159" s="28"/>
      <c r="C159" s="28"/>
      <c r="D159" s="28"/>
      <c r="E159" s="29"/>
      <c r="F159" s="29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x14ac:dyDescent="0.15">
      <c r="A160" s="28"/>
      <c r="B160" s="28"/>
      <c r="C160" s="28"/>
      <c r="D160" s="28"/>
      <c r="E160" s="29"/>
      <c r="F160" s="29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x14ac:dyDescent="0.15">
      <c r="A161" s="28"/>
      <c r="B161" s="28"/>
      <c r="C161" s="28"/>
      <c r="D161" s="28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x14ac:dyDescent="0.15">
      <c r="A162" s="28"/>
      <c r="B162" s="28"/>
      <c r="C162" s="28"/>
      <c r="D162" s="28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x14ac:dyDescent="0.15">
      <c r="A163" s="28"/>
      <c r="B163" s="28"/>
      <c r="C163" s="28"/>
      <c r="D163" s="28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x14ac:dyDescent="0.15">
      <c r="A164" s="28"/>
      <c r="B164" s="28"/>
      <c r="C164" s="28"/>
      <c r="D164" s="28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x14ac:dyDescent="0.15">
      <c r="A165" s="28"/>
      <c r="B165" s="28"/>
      <c r="C165" s="28"/>
      <c r="D165" s="28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x14ac:dyDescent="0.15">
      <c r="A166" s="28"/>
      <c r="B166" s="28"/>
      <c r="C166" s="28"/>
      <c r="D166" s="28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x14ac:dyDescent="0.15">
      <c r="A167" s="28"/>
      <c r="B167" s="28"/>
      <c r="C167" s="28"/>
      <c r="D167" s="28"/>
      <c r="E167" s="29"/>
      <c r="F167" s="29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x14ac:dyDescent="0.15">
      <c r="A168" s="28"/>
      <c r="B168" s="28"/>
      <c r="C168" s="28"/>
      <c r="D168" s="28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x14ac:dyDescent="0.15">
      <c r="A169" s="28"/>
      <c r="B169" s="28"/>
      <c r="C169" s="28"/>
      <c r="D169" s="28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x14ac:dyDescent="0.15">
      <c r="A170" s="28"/>
      <c r="B170" s="28"/>
      <c r="C170" s="28"/>
      <c r="D170" s="28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x14ac:dyDescent="0.15">
      <c r="A171" s="28"/>
      <c r="B171" s="28"/>
      <c r="C171" s="28"/>
      <c r="D171" s="28"/>
      <c r="E171" s="29"/>
      <c r="F171" s="29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x14ac:dyDescent="0.15">
      <c r="A172" s="28"/>
      <c r="B172" s="28"/>
      <c r="C172" s="28"/>
      <c r="D172" s="28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x14ac:dyDescent="0.15">
      <c r="A173" s="28"/>
      <c r="B173" s="28"/>
      <c r="C173" s="28"/>
      <c r="D173" s="28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x14ac:dyDescent="0.15">
      <c r="A174" s="28"/>
      <c r="B174" s="28"/>
      <c r="C174" s="28"/>
      <c r="D174" s="28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x14ac:dyDescent="0.15">
      <c r="A175" s="28"/>
      <c r="B175" s="28"/>
      <c r="C175" s="28"/>
      <c r="D175" s="28"/>
      <c r="E175" s="29"/>
      <c r="F175" s="29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x14ac:dyDescent="0.15">
      <c r="A176" s="28"/>
      <c r="B176" s="28"/>
      <c r="C176" s="28"/>
      <c r="D176" s="28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x14ac:dyDescent="0.15">
      <c r="A177" s="28"/>
      <c r="B177" s="28"/>
      <c r="C177" s="28"/>
      <c r="D177" s="28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x14ac:dyDescent="0.15">
      <c r="A178" s="28"/>
      <c r="B178" s="28"/>
      <c r="C178" s="28"/>
      <c r="D178" s="28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x14ac:dyDescent="0.15">
      <c r="A215" s="28"/>
      <c r="B215" s="28"/>
      <c r="C215" s="28"/>
      <c r="D215" s="28"/>
      <c r="E215" s="29"/>
      <c r="F215" s="29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x14ac:dyDescent="0.15">
      <c r="A216" s="28"/>
      <c r="B216" s="28"/>
      <c r="C216" s="28"/>
      <c r="D216" s="28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x14ac:dyDescent="0.15">
      <c r="A217" s="28"/>
      <c r="B217" s="28"/>
      <c r="C217" s="28"/>
      <c r="D217" s="28"/>
      <c r="E217" s="29"/>
      <c r="F217" s="29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x14ac:dyDescent="0.15">
      <c r="A218" s="28"/>
      <c r="B218" s="28"/>
      <c r="C218" s="28"/>
      <c r="D218" s="28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x14ac:dyDescent="0.15">
      <c r="A219" s="28"/>
      <c r="B219" s="28"/>
      <c r="C219" s="28"/>
      <c r="D219" s="28"/>
      <c r="E219" s="29"/>
      <c r="F219" s="29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x14ac:dyDescent="0.15">
      <c r="A220" s="28"/>
      <c r="B220" s="28"/>
      <c r="C220" s="28"/>
      <c r="D220" s="28"/>
      <c r="E220" s="29"/>
      <c r="F220" s="29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x14ac:dyDescent="0.15">
      <c r="A221" s="28"/>
      <c r="B221" s="28"/>
      <c r="C221" s="28"/>
      <c r="D221" s="28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x14ac:dyDescent="0.15">
      <c r="A222" s="28"/>
      <c r="B222" s="28"/>
      <c r="C222" s="28"/>
      <c r="D222" s="28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x14ac:dyDescent="0.15">
      <c r="A223" s="28"/>
      <c r="B223" s="28"/>
      <c r="C223" s="28"/>
      <c r="D223" s="28"/>
      <c r="E223" s="29"/>
      <c r="F223" s="29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x14ac:dyDescent="0.15">
      <c r="A224" s="28"/>
      <c r="B224" s="28"/>
      <c r="C224" s="28"/>
      <c r="D224" s="28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x14ac:dyDescent="0.15">
      <c r="A225" s="28"/>
      <c r="B225" s="28"/>
      <c r="C225" s="28"/>
      <c r="D225" s="28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x14ac:dyDescent="0.15">
      <c r="A226" s="28"/>
      <c r="B226" s="28"/>
      <c r="C226" s="28"/>
      <c r="D226" s="28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x14ac:dyDescent="0.15">
      <c r="A227" s="28"/>
      <c r="B227" s="28"/>
      <c r="C227" s="28"/>
      <c r="D227" s="28"/>
      <c r="E227" s="29"/>
      <c r="F227" s="29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x14ac:dyDescent="0.15">
      <c r="A228" s="28"/>
      <c r="B228" s="28"/>
      <c r="C228" s="28"/>
      <c r="D228" s="28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x14ac:dyDescent="0.15">
      <c r="A229" s="28"/>
      <c r="B229" s="28"/>
      <c r="C229" s="28"/>
      <c r="D229" s="28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x14ac:dyDescent="0.15">
      <c r="A230" s="28"/>
      <c r="B230" s="28"/>
      <c r="C230" s="28"/>
      <c r="D230" s="28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x14ac:dyDescent="0.15">
      <c r="A231" s="28"/>
      <c r="B231" s="28"/>
      <c r="C231" s="28"/>
      <c r="D231" s="28"/>
      <c r="E231" s="29"/>
      <c r="F231" s="29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x14ac:dyDescent="0.15">
      <c r="A232" s="28"/>
      <c r="B232" s="28"/>
      <c r="C232" s="28"/>
      <c r="D232" s="28"/>
      <c r="E232" s="29"/>
      <c r="F232" s="29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x14ac:dyDescent="0.15">
      <c r="A233" s="28"/>
      <c r="B233" s="28"/>
      <c r="C233" s="28"/>
      <c r="D233" s="28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x14ac:dyDescent="0.15">
      <c r="A234" s="28"/>
      <c r="B234" s="28"/>
      <c r="C234" s="28"/>
      <c r="D234" s="28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x14ac:dyDescent="0.15">
      <c r="A235" s="28"/>
      <c r="B235" s="28"/>
      <c r="C235" s="28"/>
      <c r="D235" s="28"/>
      <c r="E235" s="29"/>
      <c r="F235" s="29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x14ac:dyDescent="0.15">
      <c r="A236" s="28"/>
      <c r="B236" s="28"/>
      <c r="C236" s="28"/>
      <c r="D236" s="28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4" x14ac:dyDescent="0.2">
      <c r="A237" s="28"/>
      <c r="B237" s="28"/>
      <c r="C237" s="28"/>
      <c r="D237" s="28"/>
      <c r="E237" s="10"/>
      <c r="F237" s="10"/>
      <c r="G237" s="10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4" x14ac:dyDescent="0.2">
      <c r="A238" s="28"/>
      <c r="B238" s="28"/>
      <c r="C238" s="28"/>
      <c r="D238" s="28"/>
      <c r="E238" s="10"/>
      <c r="F238" s="10"/>
      <c r="G238" s="10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4" x14ac:dyDescent="0.2">
      <c r="A239" s="28"/>
      <c r="B239" s="28"/>
      <c r="C239" s="28"/>
      <c r="D239" s="28"/>
      <c r="E239" s="10"/>
      <c r="F239" s="10"/>
      <c r="G239" s="10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4" x14ac:dyDescent="0.2">
      <c r="A240" s="28"/>
      <c r="B240" s="28"/>
      <c r="C240" s="28"/>
      <c r="D240" s="28"/>
      <c r="E240" s="10"/>
      <c r="F240" s="10"/>
      <c r="G240" s="10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4" x14ac:dyDescent="0.2">
      <c r="A241" s="28"/>
      <c r="B241" s="28"/>
      <c r="C241" s="28"/>
      <c r="D241" s="28"/>
      <c r="E241" s="10"/>
      <c r="F241" s="10"/>
      <c r="G241" s="10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4" x14ac:dyDescent="0.2">
      <c r="A242" s="28"/>
      <c r="B242" s="28"/>
      <c r="C242" s="28"/>
      <c r="D242" s="28"/>
      <c r="E242" s="10"/>
      <c r="F242" s="10"/>
      <c r="G242" s="10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4" x14ac:dyDescent="0.2">
      <c r="A243" s="28"/>
      <c r="B243" s="28"/>
      <c r="C243" s="28"/>
      <c r="D243" s="28"/>
      <c r="E243" s="10"/>
      <c r="F243" s="10"/>
      <c r="G243" s="10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4" x14ac:dyDescent="0.2">
      <c r="A244" s="28"/>
      <c r="B244" s="28"/>
      <c r="C244" s="28"/>
      <c r="D244" s="28"/>
      <c r="E244" s="10"/>
      <c r="F244" s="10"/>
      <c r="G244" s="10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4" x14ac:dyDescent="0.2">
      <c r="A245" s="28"/>
      <c r="B245" s="28"/>
      <c r="C245" s="28"/>
      <c r="D245" s="28"/>
      <c r="E245" s="10"/>
      <c r="F245" s="10"/>
      <c r="G245" s="10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4" x14ac:dyDescent="0.2">
      <c r="A246" s="28"/>
      <c r="B246" s="28"/>
      <c r="C246" s="28"/>
      <c r="D246" s="28"/>
      <c r="E246" s="10"/>
      <c r="F246" s="10"/>
      <c r="G246" s="10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4" x14ac:dyDescent="0.2">
      <c r="A247" s="28"/>
      <c r="B247" s="28"/>
      <c r="C247" s="28"/>
      <c r="D247" s="28"/>
      <c r="E247" s="10"/>
      <c r="F247" s="10"/>
      <c r="G247" s="10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4" x14ac:dyDescent="0.2">
      <c r="A248" s="28"/>
      <c r="B248" s="28"/>
      <c r="C248" s="28"/>
      <c r="D248" s="28"/>
      <c r="E248" s="10"/>
      <c r="F248" s="10"/>
      <c r="G248" s="10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4" x14ac:dyDescent="0.2">
      <c r="A249" s="28"/>
      <c r="B249" s="28"/>
      <c r="C249" s="28"/>
      <c r="D249" s="28"/>
      <c r="E249" s="10"/>
      <c r="F249" s="10"/>
      <c r="G249" s="10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4" x14ac:dyDescent="0.2">
      <c r="A250" s="28"/>
      <c r="B250" s="28"/>
      <c r="C250" s="28"/>
      <c r="D250" s="28"/>
      <c r="E250" s="10"/>
      <c r="F250" s="10"/>
      <c r="G250" s="10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4" x14ac:dyDescent="0.2">
      <c r="A251" s="28"/>
      <c r="B251" s="28"/>
      <c r="C251" s="28"/>
      <c r="D251" s="28"/>
      <c r="E251" s="10"/>
      <c r="F251" s="10"/>
      <c r="G251" s="10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4" x14ac:dyDescent="0.2">
      <c r="A252" s="28"/>
      <c r="B252" s="28"/>
      <c r="C252" s="28"/>
      <c r="D252" s="28"/>
      <c r="E252" s="10"/>
      <c r="F252" s="10"/>
      <c r="G252" s="10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4" x14ac:dyDescent="0.2">
      <c r="A253" s="28"/>
      <c r="B253" s="28"/>
      <c r="C253" s="28"/>
      <c r="D253" s="28"/>
      <c r="E253" s="10"/>
      <c r="F253" s="10"/>
      <c r="G253" s="10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4" x14ac:dyDescent="0.2">
      <c r="A254" s="28"/>
      <c r="B254" s="28"/>
      <c r="C254" s="28"/>
      <c r="D254" s="28"/>
      <c r="E254" s="10"/>
      <c r="F254" s="10"/>
      <c r="G254" s="10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4" x14ac:dyDescent="0.2">
      <c r="A255" s="28"/>
      <c r="B255" s="28"/>
      <c r="C255" s="28"/>
      <c r="D255" s="28"/>
      <c r="E255" s="10"/>
      <c r="F255" s="10"/>
      <c r="G255" s="10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4" x14ac:dyDescent="0.2">
      <c r="A256" s="28"/>
      <c r="B256" s="28"/>
      <c r="C256" s="28"/>
      <c r="D256" s="28"/>
      <c r="E256" s="10"/>
      <c r="F256" s="10"/>
      <c r="G256" s="10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4" x14ac:dyDescent="0.2">
      <c r="A257" s="28"/>
      <c r="B257" s="28"/>
      <c r="C257" s="28"/>
      <c r="D257" s="28"/>
      <c r="E257" s="10"/>
      <c r="F257" s="10"/>
      <c r="G257" s="10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4" x14ac:dyDescent="0.2">
      <c r="A258" s="28"/>
      <c r="B258" s="28"/>
      <c r="C258" s="28"/>
      <c r="D258" s="28"/>
      <c r="E258" s="10"/>
      <c r="F258" s="10"/>
      <c r="G258" s="10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4" x14ac:dyDescent="0.2">
      <c r="A259" s="28"/>
      <c r="B259" s="28"/>
      <c r="C259" s="28"/>
      <c r="D259" s="28"/>
      <c r="E259" s="10"/>
      <c r="F259" s="10"/>
      <c r="G259" s="10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4" x14ac:dyDescent="0.2">
      <c r="A260" s="28"/>
      <c r="B260" s="28"/>
      <c r="C260" s="28"/>
      <c r="D260" s="28"/>
      <c r="E260" s="10"/>
      <c r="F260" s="10"/>
      <c r="G260" s="10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4" x14ac:dyDescent="0.2">
      <c r="A261" s="28"/>
      <c r="B261" s="28"/>
      <c r="C261" s="28"/>
      <c r="D261" s="28"/>
      <c r="E261" s="10"/>
      <c r="F261" s="10"/>
      <c r="G261" s="10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4" x14ac:dyDescent="0.2">
      <c r="A262" s="28"/>
      <c r="B262" s="28"/>
      <c r="C262" s="28"/>
      <c r="D262" s="28"/>
      <c r="E262" s="10"/>
      <c r="F262" s="10"/>
      <c r="G262" s="10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4" x14ac:dyDescent="0.2">
      <c r="A263" s="28"/>
      <c r="B263" s="28"/>
      <c r="C263" s="28"/>
      <c r="D263" s="28"/>
      <c r="E263" s="10"/>
      <c r="F263" s="10"/>
      <c r="G263" s="10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4" x14ac:dyDescent="0.2">
      <c r="A264" s="28"/>
      <c r="B264" s="28"/>
      <c r="C264" s="28"/>
      <c r="D264" s="28"/>
      <c r="E264" s="10"/>
      <c r="F264" s="10"/>
      <c r="G264" s="10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4" x14ac:dyDescent="0.2">
      <c r="A265" s="28"/>
      <c r="B265" s="28"/>
      <c r="C265" s="28"/>
      <c r="D265" s="28"/>
      <c r="E265" s="10"/>
      <c r="F265" s="10"/>
      <c r="G265" s="10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4" x14ac:dyDescent="0.2">
      <c r="A266" s="28"/>
      <c r="B266" s="28"/>
      <c r="C266" s="28"/>
      <c r="D266" s="28"/>
      <c r="E266" s="10"/>
      <c r="F266" s="10"/>
      <c r="G266" s="10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4" x14ac:dyDescent="0.2">
      <c r="A267" s="28"/>
      <c r="B267" s="28"/>
      <c r="C267" s="28"/>
      <c r="D267" s="28"/>
      <c r="E267" s="10"/>
      <c r="F267" s="10"/>
      <c r="G267" s="10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4" x14ac:dyDescent="0.2">
      <c r="A268" s="28"/>
      <c r="B268" s="28"/>
      <c r="C268" s="28"/>
      <c r="D268" s="28"/>
      <c r="E268" s="10"/>
      <c r="F268" s="10"/>
      <c r="G268" s="10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4" x14ac:dyDescent="0.2">
      <c r="A269" s="28"/>
      <c r="B269" s="28"/>
      <c r="C269" s="28"/>
      <c r="D269" s="28"/>
      <c r="E269" s="10"/>
      <c r="F269" s="10"/>
      <c r="G269" s="10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4" x14ac:dyDescent="0.2">
      <c r="A270" s="28"/>
      <c r="B270" s="28"/>
      <c r="C270" s="28"/>
      <c r="D270" s="28"/>
      <c r="E270" s="10"/>
      <c r="F270" s="10"/>
      <c r="G270" s="10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4" x14ac:dyDescent="0.2">
      <c r="A271" s="28"/>
      <c r="B271" s="28"/>
      <c r="C271" s="28"/>
      <c r="D271" s="28"/>
      <c r="E271" s="10"/>
      <c r="F271" s="10"/>
      <c r="G271" s="10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x14ac:dyDescent="0.15">
      <c r="A286" s="28"/>
      <c r="B286" s="28"/>
      <c r="C286" s="28"/>
      <c r="D286" s="28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x14ac:dyDescent="0.15">
      <c r="A287" s="28"/>
      <c r="B287" s="28"/>
      <c r="C287" s="28"/>
      <c r="D287" s="28"/>
      <c r="E287" s="29"/>
      <c r="F287" s="29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x14ac:dyDescent="0.15">
      <c r="A288" s="28"/>
      <c r="B288" s="28"/>
      <c r="C288" s="28"/>
      <c r="D288" s="28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x14ac:dyDescent="0.15">
      <c r="A289" s="28"/>
      <c r="B289" s="28"/>
      <c r="C289" s="28"/>
      <c r="D289" s="28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x14ac:dyDescent="0.15">
      <c r="A290" s="28"/>
      <c r="B290" s="28"/>
      <c r="C290" s="28"/>
      <c r="D290" s="28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x14ac:dyDescent="0.15">
      <c r="A291" s="28"/>
      <c r="B291" s="28"/>
      <c r="C291" s="28"/>
      <c r="D291" s="28"/>
      <c r="E291" s="29"/>
      <c r="F291" s="29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x14ac:dyDescent="0.15">
      <c r="A292" s="28"/>
      <c r="B292" s="28"/>
      <c r="C292" s="28"/>
      <c r="D292" s="28"/>
      <c r="E292" s="29"/>
      <c r="F292" s="29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x14ac:dyDescent="0.15">
      <c r="A293" s="28"/>
      <c r="B293" s="28"/>
      <c r="C293" s="28"/>
      <c r="D293" s="28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x14ac:dyDescent="0.15">
      <c r="A294" s="28"/>
      <c r="B294" s="28"/>
      <c r="C294" s="28"/>
      <c r="D294" s="28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x14ac:dyDescent="0.15">
      <c r="A295" s="28"/>
      <c r="B295" s="28"/>
      <c r="C295" s="28"/>
      <c r="D295" s="28"/>
      <c r="E295" s="29"/>
      <c r="F295" s="29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x14ac:dyDescent="0.15">
      <c r="A296" s="28"/>
      <c r="B296" s="28"/>
      <c r="C296" s="28"/>
      <c r="D296" s="28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x14ac:dyDescent="0.15">
      <c r="A297" s="28"/>
      <c r="B297" s="28"/>
      <c r="C297" s="28"/>
      <c r="D297" s="28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x14ac:dyDescent="0.15">
      <c r="A298" s="28"/>
      <c r="B298" s="28"/>
      <c r="C298" s="28"/>
      <c r="D298" s="28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x14ac:dyDescent="0.15">
      <c r="A299" s="28"/>
      <c r="B299" s="28"/>
      <c r="C299" s="28"/>
      <c r="D299" s="28"/>
      <c r="E299" s="29"/>
      <c r="F299" s="29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x14ac:dyDescent="0.15">
      <c r="A300" s="28"/>
      <c r="B300" s="28"/>
      <c r="C300" s="28"/>
      <c r="D300" s="28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x14ac:dyDescent="0.15">
      <c r="A301" s="28"/>
      <c r="B301" s="28"/>
      <c r="C301" s="28"/>
      <c r="D301" s="28"/>
      <c r="E301" s="29"/>
      <c r="F301" s="29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x14ac:dyDescent="0.15">
      <c r="A302" s="28"/>
      <c r="B302" s="28"/>
      <c r="C302" s="28"/>
      <c r="D302" s="28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x14ac:dyDescent="0.15">
      <c r="A303" s="28"/>
      <c r="B303" s="28"/>
      <c r="C303" s="28"/>
      <c r="D303" s="28"/>
      <c r="E303" s="29"/>
      <c r="F303" s="29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x14ac:dyDescent="0.15">
      <c r="A304" s="28"/>
      <c r="B304" s="28"/>
      <c r="C304" s="28"/>
      <c r="D304" s="28"/>
      <c r="E304" s="29"/>
      <c r="F304" s="29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x14ac:dyDescent="0.15">
      <c r="A305" s="28"/>
      <c r="B305" s="28"/>
      <c r="C305" s="28"/>
      <c r="D305" s="28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x14ac:dyDescent="0.15">
      <c r="A306" s="28"/>
      <c r="B306" s="28"/>
      <c r="C306" s="28"/>
      <c r="D306" s="28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x14ac:dyDescent="0.15">
      <c r="A307" s="28"/>
      <c r="B307" s="28"/>
      <c r="C307" s="28"/>
      <c r="D307" s="28"/>
      <c r="E307" s="29"/>
      <c r="F307" s="29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x14ac:dyDescent="0.15">
      <c r="A308" s="28"/>
      <c r="B308" s="28"/>
      <c r="C308" s="28"/>
      <c r="D308" s="28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x14ac:dyDescent="0.15">
      <c r="A309" s="28"/>
      <c r="B309" s="28"/>
      <c r="C309" s="28"/>
      <c r="D309" s="28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x14ac:dyDescent="0.15">
      <c r="A310" s="28"/>
      <c r="B310" s="28"/>
      <c r="C310" s="28"/>
      <c r="D310" s="28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x14ac:dyDescent="0.15">
      <c r="A311" s="28"/>
      <c r="B311" s="28"/>
      <c r="C311" s="28"/>
      <c r="D311" s="28"/>
      <c r="E311" s="29"/>
      <c r="F311" s="29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x14ac:dyDescent="0.15">
      <c r="A312" s="28"/>
      <c r="B312" s="28"/>
      <c r="C312" s="28"/>
      <c r="D312" s="28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x14ac:dyDescent="0.15">
      <c r="A313" s="28"/>
      <c r="B313" s="28"/>
      <c r="C313" s="28"/>
      <c r="D313" s="28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x14ac:dyDescent="0.15">
      <c r="A314" s="28"/>
      <c r="B314" s="28"/>
      <c r="C314" s="28"/>
      <c r="D314" s="28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x14ac:dyDescent="0.15">
      <c r="A315" s="28"/>
      <c r="B315" s="28"/>
      <c r="C315" s="28"/>
      <c r="D315" s="28"/>
      <c r="E315" s="29"/>
      <c r="F315" s="29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x14ac:dyDescent="0.15">
      <c r="A316" s="28"/>
      <c r="B316" s="28"/>
      <c r="C316" s="28"/>
      <c r="D316" s="28"/>
      <c r="E316" s="29"/>
      <c r="F316" s="29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x14ac:dyDescent="0.15">
      <c r="A317" s="28"/>
      <c r="B317" s="28"/>
      <c r="C317" s="28"/>
      <c r="D317" s="28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x14ac:dyDescent="0.15">
      <c r="A318" s="28"/>
      <c r="B318" s="28"/>
      <c r="C318" s="28"/>
      <c r="D318" s="28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x14ac:dyDescent="0.15">
      <c r="A319" s="28"/>
      <c r="B319" s="28"/>
      <c r="C319" s="28"/>
      <c r="D319" s="28"/>
      <c r="E319" s="29"/>
      <c r="F319" s="29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x14ac:dyDescent="0.15">
      <c r="A320" s="28"/>
      <c r="B320" s="28"/>
      <c r="C320" s="28"/>
      <c r="D320" s="28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x14ac:dyDescent="0.15">
      <c r="A724" s="28"/>
      <c r="B724" s="28"/>
      <c r="C724" s="28"/>
      <c r="D724" s="28"/>
      <c r="E724" s="29"/>
      <c r="F724" s="29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x14ac:dyDescent="0.15">
      <c r="A725" s="28"/>
      <c r="B725" s="28"/>
      <c r="C725" s="28"/>
      <c r="D725" s="28"/>
      <c r="E725" s="29"/>
      <c r="F725" s="29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x14ac:dyDescent="0.15">
      <c r="A726" s="28"/>
      <c r="B726" s="28"/>
      <c r="C726" s="28"/>
      <c r="D726" s="28"/>
      <c r="E726" s="29"/>
      <c r="F726" s="29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x14ac:dyDescent="0.15">
      <c r="A727" s="28"/>
      <c r="B727" s="28"/>
      <c r="C727" s="28"/>
      <c r="D727" s="28"/>
      <c r="E727" s="29"/>
      <c r="F727" s="29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x14ac:dyDescent="0.15">
      <c r="A728" s="28"/>
      <c r="B728" s="28"/>
      <c r="C728" s="28"/>
      <c r="D728" s="28"/>
      <c r="E728" s="29"/>
      <c r="F728" s="29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" x14ac:dyDescent="0.15">
      <c r="A729" s="28"/>
      <c r="B729" s="28"/>
      <c r="C729" s="28"/>
      <c r="D729" s="28"/>
      <c r="E729" s="29"/>
      <c r="F729" s="29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" x14ac:dyDescent="0.15">
      <c r="A730" s="28"/>
      <c r="B730" s="28"/>
      <c r="C730" s="28"/>
      <c r="D730" s="28"/>
      <c r="E730" s="29"/>
      <c r="F730" s="29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" x14ac:dyDescent="0.15">
      <c r="A731" s="28"/>
      <c r="B731" s="28"/>
      <c r="C731" s="28"/>
      <c r="D731" s="28"/>
      <c r="E731" s="29"/>
      <c r="F731" s="29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" x14ac:dyDescent="0.15">
      <c r="A732" s="28"/>
      <c r="B732" s="28"/>
      <c r="C732" s="28"/>
      <c r="D732" s="28"/>
      <c r="E732" s="29"/>
      <c r="F732" s="29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" x14ac:dyDescent="0.15">
      <c r="A733" s="28"/>
      <c r="B733" s="28"/>
      <c r="C733" s="28"/>
      <c r="D733" s="28"/>
      <c r="E733" s="29"/>
      <c r="F733" s="29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" x14ac:dyDescent="0.15">
      <c r="A734" s="28"/>
      <c r="B734" s="28"/>
      <c r="C734" s="28"/>
      <c r="D734" s="28"/>
      <c r="E734" s="29"/>
      <c r="F734" s="29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" x14ac:dyDescent="0.15">
      <c r="A735" s="28"/>
      <c r="B735" s="28"/>
      <c r="C735" s="28"/>
      <c r="D735" s="28"/>
      <c r="E735" s="29"/>
      <c r="F735" s="29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" x14ac:dyDescent="0.15">
      <c r="A736" s="28"/>
      <c r="B736" s="28"/>
      <c r="C736" s="28"/>
      <c r="D736" s="28"/>
      <c r="E736" s="29"/>
      <c r="F736" s="29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" x14ac:dyDescent="0.15">
      <c r="A737" s="28"/>
      <c r="B737" s="28"/>
      <c r="C737" s="28"/>
      <c r="D737" s="28"/>
      <c r="E737" s="29"/>
      <c r="F737" s="29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" x14ac:dyDescent="0.15">
      <c r="A738" s="28"/>
      <c r="B738" s="28"/>
      <c r="C738" s="28"/>
      <c r="D738" s="28"/>
      <c r="E738" s="29"/>
      <c r="F738" s="29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" x14ac:dyDescent="0.15">
      <c r="A739" s="28"/>
      <c r="B739" s="28"/>
      <c r="C739" s="28"/>
      <c r="D739" s="28"/>
      <c r="E739" s="29"/>
      <c r="F739" s="29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" x14ac:dyDescent="0.15">
      <c r="A740" s="28"/>
      <c r="B740" s="28"/>
      <c r="C740" s="28"/>
      <c r="D740" s="28"/>
      <c r="E740" s="29"/>
      <c r="F740" s="29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" x14ac:dyDescent="0.15">
      <c r="A741" s="28"/>
      <c r="B741" s="28"/>
      <c r="C741" s="28"/>
      <c r="D741" s="28"/>
      <c r="E741" s="29"/>
      <c r="F741" s="29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" x14ac:dyDescent="0.15">
      <c r="A742" s="28"/>
      <c r="B742" s="28"/>
      <c r="C742" s="28"/>
      <c r="D742" s="28"/>
      <c r="E742" s="29"/>
      <c r="F742" s="29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" x14ac:dyDescent="0.15">
      <c r="A743" s="28"/>
      <c r="B743" s="28"/>
      <c r="C743" s="28"/>
      <c r="D743" s="28"/>
      <c r="E743" s="29"/>
      <c r="F743" s="29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" x14ac:dyDescent="0.15">
      <c r="A744" s="28"/>
      <c r="B744" s="28"/>
      <c r="C744" s="28"/>
      <c r="D744" s="28"/>
      <c r="E744" s="29"/>
      <c r="F744" s="29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" x14ac:dyDescent="0.15">
      <c r="A745" s="28"/>
      <c r="B745" s="28"/>
      <c r="C745" s="28"/>
      <c r="D745" s="28"/>
      <c r="E745" s="29"/>
      <c r="F745" s="29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" x14ac:dyDescent="0.15">
      <c r="A746" s="28"/>
      <c r="B746" s="28"/>
      <c r="C746" s="28"/>
      <c r="D746" s="28"/>
      <c r="E746" s="29"/>
      <c r="F746" s="29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" x14ac:dyDescent="0.15">
      <c r="A747" s="28"/>
      <c r="B747" s="28"/>
      <c r="C747" s="28"/>
      <c r="D747" s="28"/>
      <c r="E747" s="29"/>
      <c r="F747" s="29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" x14ac:dyDescent="0.15">
      <c r="A748" s="28"/>
      <c r="B748" s="28"/>
      <c r="C748" s="28"/>
      <c r="D748" s="28"/>
      <c r="E748" s="29"/>
      <c r="F748" s="29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" x14ac:dyDescent="0.15">
      <c r="A749" s="28"/>
      <c r="B749" s="28"/>
      <c r="C749" s="28"/>
      <c r="D749" s="28"/>
      <c r="E749" s="29"/>
      <c r="F749" s="29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" x14ac:dyDescent="0.15">
      <c r="A750" s="28"/>
      <c r="B750" s="28"/>
      <c r="C750" s="28"/>
      <c r="D750" s="28"/>
      <c r="E750" s="29"/>
      <c r="F750" s="29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" x14ac:dyDescent="0.15">
      <c r="A751" s="28"/>
      <c r="B751" s="28"/>
      <c r="C751" s="28"/>
      <c r="D751" s="28"/>
      <c r="E751" s="29"/>
      <c r="F751" s="29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" x14ac:dyDescent="0.15">
      <c r="A752" s="28"/>
      <c r="B752" s="28"/>
      <c r="C752" s="28"/>
      <c r="D752" s="28"/>
      <c r="E752" s="29"/>
      <c r="F752" s="29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" x14ac:dyDescent="0.15">
      <c r="A753" s="28"/>
      <c r="B753" s="28"/>
      <c r="C753" s="28"/>
      <c r="D753" s="28"/>
      <c r="E753" s="29"/>
      <c r="F753" s="29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" x14ac:dyDescent="0.15">
      <c r="A754" s="28"/>
      <c r="B754" s="28"/>
      <c r="C754" s="28"/>
      <c r="D754" s="28"/>
      <c r="E754" s="29"/>
      <c r="F754" s="29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" x14ac:dyDescent="0.15">
      <c r="A755" s="28"/>
      <c r="B755" s="28"/>
      <c r="C755" s="28"/>
      <c r="D755" s="28"/>
      <c r="E755" s="29"/>
      <c r="F755" s="29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" x14ac:dyDescent="0.15">
      <c r="A756" s="28"/>
      <c r="B756" s="28"/>
      <c r="C756" s="28"/>
      <c r="D756" s="28"/>
      <c r="E756" s="29"/>
      <c r="F756" s="29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" x14ac:dyDescent="0.15">
      <c r="A757" s="28"/>
      <c r="B757" s="28"/>
      <c r="C757" s="28"/>
      <c r="D757" s="28"/>
      <c r="E757" s="29"/>
      <c r="F757" s="29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" x14ac:dyDescent="0.15">
      <c r="A758" s="28"/>
      <c r="B758" s="28"/>
      <c r="C758" s="28"/>
      <c r="D758" s="28"/>
      <c r="E758" s="29"/>
      <c r="F758" s="29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" x14ac:dyDescent="0.15">
      <c r="A759" s="28"/>
      <c r="B759" s="28"/>
      <c r="C759" s="28"/>
      <c r="D759" s="28"/>
      <c r="E759" s="29"/>
      <c r="F759" s="29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" x14ac:dyDescent="0.15">
      <c r="A760" s="28"/>
      <c r="B760" s="28"/>
      <c r="C760" s="28"/>
      <c r="D760" s="28"/>
      <c r="E760" s="29"/>
      <c r="F760" s="29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" x14ac:dyDescent="0.15">
      <c r="A761" s="28"/>
      <c r="B761" s="28"/>
      <c r="C761" s="28"/>
      <c r="D761" s="28"/>
      <c r="E761" s="29"/>
      <c r="F761" s="29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" x14ac:dyDescent="0.15">
      <c r="A762" s="28"/>
      <c r="B762" s="28"/>
      <c r="C762" s="28"/>
      <c r="D762" s="28"/>
      <c r="E762" s="29"/>
      <c r="F762" s="29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" x14ac:dyDescent="0.15">
      <c r="A763" s="28"/>
      <c r="B763" s="28"/>
      <c r="C763" s="28"/>
      <c r="D763" s="28"/>
      <c r="E763" s="29"/>
      <c r="F763" s="29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" x14ac:dyDescent="0.15">
      <c r="A764" s="28"/>
      <c r="B764" s="28"/>
      <c r="C764" s="28"/>
      <c r="D764" s="28"/>
      <c r="E764" s="29"/>
      <c r="F764" s="29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" x14ac:dyDescent="0.15">
      <c r="A765" s="28"/>
      <c r="B765" s="28"/>
      <c r="C765" s="28"/>
      <c r="D765" s="28"/>
      <c r="E765" s="29"/>
      <c r="F765" s="29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" x14ac:dyDescent="0.15">
      <c r="A766" s="28"/>
      <c r="B766" s="28"/>
      <c r="C766" s="28"/>
      <c r="D766" s="28"/>
      <c r="E766" s="29"/>
      <c r="F766" s="29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" x14ac:dyDescent="0.15">
      <c r="A767" s="28"/>
      <c r="B767" s="28"/>
      <c r="C767" s="28"/>
      <c r="D767" s="28"/>
      <c r="E767" s="29"/>
      <c r="F767" s="29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" x14ac:dyDescent="0.15">
      <c r="A768" s="28"/>
      <c r="B768" s="28"/>
      <c r="C768" s="28"/>
      <c r="D768" s="28"/>
      <c r="E768" s="29"/>
      <c r="F768" s="29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" x14ac:dyDescent="0.15">
      <c r="A769" s="28"/>
      <c r="B769" s="28"/>
      <c r="C769" s="28"/>
      <c r="D769" s="28"/>
      <c r="E769" s="29"/>
      <c r="F769" s="29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" x14ac:dyDescent="0.15">
      <c r="A770" s="28"/>
      <c r="B770" s="28"/>
      <c r="C770" s="28"/>
      <c r="D770" s="28"/>
      <c r="E770" s="29"/>
      <c r="F770" s="29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" x14ac:dyDescent="0.15">
      <c r="A771" s="28"/>
      <c r="B771" s="28"/>
      <c r="C771" s="28"/>
      <c r="D771" s="28"/>
      <c r="E771" s="29"/>
      <c r="F771" s="29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" x14ac:dyDescent="0.15">
      <c r="A772" s="28"/>
      <c r="B772" s="28"/>
      <c r="C772" s="28"/>
      <c r="D772" s="28"/>
      <c r="E772" s="29"/>
      <c r="F772" s="29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" x14ac:dyDescent="0.15">
      <c r="A773" s="28"/>
      <c r="B773" s="28"/>
      <c r="C773" s="28"/>
      <c r="D773" s="28"/>
      <c r="E773" s="29"/>
      <c r="F773" s="29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" x14ac:dyDescent="0.15">
      <c r="A774" s="28"/>
      <c r="B774" s="28"/>
      <c r="C774" s="28"/>
      <c r="D774" s="28"/>
      <c r="E774" s="29"/>
      <c r="F774" s="29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" x14ac:dyDescent="0.15">
      <c r="A775" s="28"/>
      <c r="B775" s="28"/>
      <c r="C775" s="28"/>
      <c r="D775" s="28"/>
      <c r="E775" s="29"/>
      <c r="F775" s="29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" x14ac:dyDescent="0.15">
      <c r="A776" s="28"/>
      <c r="B776" s="28"/>
      <c r="C776" s="28"/>
      <c r="D776" s="28"/>
      <c r="E776" s="29"/>
      <c r="F776" s="29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" x14ac:dyDescent="0.15">
      <c r="A777" s="28"/>
      <c r="B777" s="28"/>
      <c r="C777" s="28"/>
      <c r="D777" s="28"/>
      <c r="E777" s="29"/>
      <c r="F777" s="29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" x14ac:dyDescent="0.15">
      <c r="A778" s="28"/>
      <c r="B778" s="28"/>
      <c r="C778" s="28"/>
      <c r="D778" s="28"/>
      <c r="E778" s="29"/>
      <c r="F778" s="29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" x14ac:dyDescent="0.15">
      <c r="A779" s="28"/>
      <c r="B779" s="28"/>
      <c r="C779" s="28"/>
      <c r="D779" s="28"/>
      <c r="E779" s="29"/>
      <c r="F779" s="29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" x14ac:dyDescent="0.15">
      <c r="A780" s="28"/>
      <c r="B780" s="28"/>
      <c r="C780" s="28"/>
      <c r="D780" s="28"/>
      <c r="E780" s="29"/>
      <c r="F780" s="29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" x14ac:dyDescent="0.15">
      <c r="A781" s="28"/>
      <c r="B781" s="28"/>
      <c r="C781" s="28"/>
      <c r="D781" s="28"/>
      <c r="E781" s="29"/>
      <c r="F781" s="29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" x14ac:dyDescent="0.15">
      <c r="A782" s="28"/>
      <c r="B782" s="28"/>
      <c r="C782" s="28"/>
      <c r="D782" s="28"/>
      <c r="E782" s="29"/>
      <c r="F782" s="29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" x14ac:dyDescent="0.15">
      <c r="A783" s="28"/>
      <c r="B783" s="28"/>
      <c r="C783" s="28"/>
      <c r="D783" s="28"/>
      <c r="E783" s="29"/>
      <c r="F783" s="29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" x14ac:dyDescent="0.15">
      <c r="A784" s="28"/>
      <c r="B784" s="28"/>
      <c r="C784" s="28"/>
      <c r="D784" s="28"/>
      <c r="E784" s="29"/>
      <c r="F784" s="29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" x14ac:dyDescent="0.15">
      <c r="A785" s="28"/>
      <c r="B785" s="28"/>
      <c r="C785" s="28"/>
      <c r="D785" s="28"/>
      <c r="E785" s="29"/>
      <c r="F785" s="29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" x14ac:dyDescent="0.15">
      <c r="A786" s="28"/>
      <c r="B786" s="28"/>
      <c r="C786" s="28"/>
      <c r="D786" s="28"/>
      <c r="E786" s="29"/>
      <c r="F786" s="29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" x14ac:dyDescent="0.15">
      <c r="A787" s="28"/>
      <c r="B787" s="28"/>
      <c r="C787" s="28"/>
      <c r="D787" s="28"/>
      <c r="E787" s="29"/>
      <c r="F787" s="29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" x14ac:dyDescent="0.15">
      <c r="A788" s="28"/>
      <c r="B788" s="28"/>
      <c r="C788" s="28"/>
      <c r="D788" s="28"/>
      <c r="E788" s="29"/>
      <c r="F788" s="29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" x14ac:dyDescent="0.15">
      <c r="A789" s="28"/>
      <c r="B789" s="28"/>
      <c r="C789" s="28"/>
      <c r="D789" s="28"/>
      <c r="E789" s="29"/>
      <c r="F789" s="29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" x14ac:dyDescent="0.15">
      <c r="A790" s="28"/>
      <c r="B790" s="28"/>
      <c r="C790" s="28"/>
      <c r="D790" s="28"/>
      <c r="E790" s="29"/>
      <c r="F790" s="29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" x14ac:dyDescent="0.15">
      <c r="A791" s="28"/>
      <c r="B791" s="28"/>
      <c r="C791" s="28"/>
      <c r="D791" s="28"/>
      <c r="E791" s="29"/>
      <c r="F791" s="29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" x14ac:dyDescent="0.15">
      <c r="A792" s="28"/>
      <c r="B792" s="28"/>
      <c r="C792" s="28"/>
      <c r="D792" s="28"/>
      <c r="E792" s="29"/>
      <c r="F792" s="29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" x14ac:dyDescent="0.15">
      <c r="A793" s="28"/>
      <c r="B793" s="28"/>
      <c r="C793" s="28"/>
      <c r="D793" s="28"/>
      <c r="E793" s="29"/>
      <c r="F793" s="29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" x14ac:dyDescent="0.15">
      <c r="A794" s="28"/>
      <c r="B794" s="28"/>
      <c r="C794" s="28"/>
      <c r="D794" s="28"/>
      <c r="E794" s="29"/>
      <c r="F794" s="29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" x14ac:dyDescent="0.15">
      <c r="A795" s="28"/>
      <c r="B795" s="28"/>
      <c r="C795" s="28"/>
      <c r="D795" s="28"/>
      <c r="E795" s="29"/>
      <c r="F795" s="29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" x14ac:dyDescent="0.15">
      <c r="A796" s="28"/>
      <c r="B796" s="28"/>
      <c r="C796" s="28"/>
      <c r="D796" s="28"/>
      <c r="E796" s="29"/>
      <c r="F796" s="29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" x14ac:dyDescent="0.15">
      <c r="A797" s="28"/>
      <c r="B797" s="28"/>
      <c r="C797" s="28"/>
      <c r="D797" s="28"/>
      <c r="E797" s="29"/>
      <c r="F797" s="29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" x14ac:dyDescent="0.15">
      <c r="A798" s="28"/>
      <c r="B798" s="28"/>
      <c r="C798" s="28"/>
      <c r="D798" s="28"/>
      <c r="E798" s="29"/>
      <c r="F798" s="29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" x14ac:dyDescent="0.15">
      <c r="A799" s="28"/>
      <c r="B799" s="28"/>
      <c r="C799" s="28"/>
      <c r="D799" s="28"/>
      <c r="E799" s="29"/>
      <c r="F799" s="29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" x14ac:dyDescent="0.15">
      <c r="A800" s="28"/>
      <c r="B800" s="28"/>
      <c r="C800" s="28"/>
      <c r="D800" s="28"/>
      <c r="E800" s="29"/>
      <c r="F800" s="29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" x14ac:dyDescent="0.15">
      <c r="A801" s="28"/>
      <c r="B801" s="28"/>
      <c r="C801" s="28"/>
      <c r="D801" s="28"/>
      <c r="E801" s="29"/>
      <c r="F801" s="29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" x14ac:dyDescent="0.15">
      <c r="A802" s="28"/>
      <c r="B802" s="28"/>
      <c r="C802" s="28"/>
      <c r="D802" s="28"/>
      <c r="E802" s="29"/>
      <c r="F802" s="29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" x14ac:dyDescent="0.15">
      <c r="A803" s="28"/>
      <c r="B803" s="28"/>
      <c r="C803" s="28"/>
      <c r="D803" s="28"/>
      <c r="E803" s="29"/>
      <c r="F803" s="29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" x14ac:dyDescent="0.15">
      <c r="A804" s="28"/>
      <c r="B804" s="28"/>
      <c r="C804" s="28"/>
      <c r="D804" s="28"/>
      <c r="E804" s="29"/>
      <c r="F804" s="29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" x14ac:dyDescent="0.15">
      <c r="A805" s="28"/>
      <c r="B805" s="28"/>
      <c r="C805" s="28"/>
      <c r="D805" s="28"/>
      <c r="E805" s="29"/>
      <c r="F805" s="29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" x14ac:dyDescent="0.15">
      <c r="A806" s="28"/>
      <c r="B806" s="28"/>
      <c r="C806" s="28"/>
      <c r="D806" s="28"/>
      <c r="E806" s="29"/>
      <c r="F806" s="29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" x14ac:dyDescent="0.15">
      <c r="A807" s="28"/>
      <c r="B807" s="28"/>
      <c r="C807" s="28"/>
      <c r="D807" s="28"/>
      <c r="E807" s="29"/>
      <c r="F807" s="29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" x14ac:dyDescent="0.15">
      <c r="A808" s="28"/>
      <c r="B808" s="28"/>
      <c r="C808" s="28"/>
      <c r="D808" s="28"/>
      <c r="E808" s="29"/>
      <c r="F808" s="29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" x14ac:dyDescent="0.15">
      <c r="A809" s="28"/>
      <c r="B809" s="28"/>
      <c r="C809" s="28"/>
      <c r="D809" s="28"/>
      <c r="E809" s="29"/>
      <c r="F809" s="29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" x14ac:dyDescent="0.15">
      <c r="A810" s="28"/>
      <c r="B810" s="28"/>
      <c r="C810" s="28"/>
      <c r="D810" s="28"/>
      <c r="E810" s="29"/>
      <c r="F810" s="29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" x14ac:dyDescent="0.15">
      <c r="A811" s="28"/>
      <c r="B811" s="28"/>
      <c r="C811" s="28"/>
      <c r="D811" s="28"/>
      <c r="E811" s="29"/>
      <c r="F811" s="29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" x14ac:dyDescent="0.15">
      <c r="A812" s="28"/>
      <c r="B812" s="28"/>
      <c r="C812" s="28"/>
      <c r="D812" s="28"/>
      <c r="E812" s="29"/>
      <c r="F812" s="29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" x14ac:dyDescent="0.15">
      <c r="A813" s="28"/>
      <c r="B813" s="28"/>
      <c r="C813" s="28"/>
      <c r="D813" s="28"/>
      <c r="E813" s="29"/>
      <c r="F813" s="29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" x14ac:dyDescent="0.15">
      <c r="A814" s="28"/>
      <c r="B814" s="28"/>
      <c r="C814" s="28"/>
      <c r="D814" s="28"/>
      <c r="E814" s="29"/>
      <c r="F814" s="29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" x14ac:dyDescent="0.15">
      <c r="A815" s="28"/>
      <c r="B815" s="28"/>
      <c r="C815" s="28"/>
      <c r="D815" s="28"/>
      <c r="E815" s="29"/>
      <c r="F815" s="29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" x14ac:dyDescent="0.15">
      <c r="A816" s="28"/>
      <c r="B816" s="28"/>
      <c r="C816" s="28"/>
      <c r="D816" s="28"/>
      <c r="E816" s="29"/>
      <c r="F816" s="29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" x14ac:dyDescent="0.15">
      <c r="A817" s="28"/>
      <c r="B817" s="28"/>
      <c r="C817" s="28"/>
      <c r="D817" s="28"/>
      <c r="E817" s="29"/>
      <c r="F817" s="29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" x14ac:dyDescent="0.15">
      <c r="A818" s="28"/>
      <c r="B818" s="28"/>
      <c r="C818" s="28"/>
      <c r="D818" s="28"/>
      <c r="E818" s="29"/>
      <c r="F818" s="29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" x14ac:dyDescent="0.15">
      <c r="A819" s="28"/>
      <c r="B819" s="28"/>
      <c r="C819" s="28"/>
      <c r="D819" s="28"/>
      <c r="E819" s="29"/>
      <c r="F819" s="29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" x14ac:dyDescent="0.15">
      <c r="A820" s="28"/>
      <c r="B820" s="28"/>
      <c r="C820" s="28"/>
      <c r="D820" s="28"/>
      <c r="E820" s="29"/>
      <c r="F820" s="29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" x14ac:dyDescent="0.15">
      <c r="A821" s="28"/>
      <c r="B821" s="28"/>
      <c r="C821" s="28"/>
      <c r="D821" s="28"/>
      <c r="E821" s="29"/>
      <c r="F821" s="29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" x14ac:dyDescent="0.15">
      <c r="A822" s="28"/>
      <c r="B822" s="28"/>
      <c r="C822" s="28"/>
      <c r="D822" s="28"/>
      <c r="E822" s="29"/>
      <c r="F822" s="29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" x14ac:dyDescent="0.15">
      <c r="A823" s="28"/>
      <c r="B823" s="28"/>
      <c r="C823" s="28"/>
      <c r="D823" s="28"/>
      <c r="E823" s="29"/>
      <c r="F823" s="29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" x14ac:dyDescent="0.15">
      <c r="A824" s="28"/>
      <c r="B824" s="28"/>
      <c r="C824" s="28"/>
      <c r="D824" s="28"/>
      <c r="E824" s="29"/>
      <c r="F824" s="29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" x14ac:dyDescent="0.15">
      <c r="A825" s="28"/>
      <c r="B825" s="28"/>
      <c r="C825" s="28"/>
      <c r="D825" s="28"/>
      <c r="E825" s="29"/>
      <c r="F825" s="29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" x14ac:dyDescent="0.15">
      <c r="A826" s="28"/>
      <c r="B826" s="28"/>
      <c r="C826" s="28"/>
      <c r="D826" s="28"/>
      <c r="E826" s="29"/>
      <c r="F826" s="29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" x14ac:dyDescent="0.15">
      <c r="A827" s="28"/>
      <c r="B827" s="28"/>
      <c r="C827" s="28"/>
      <c r="D827" s="28"/>
      <c r="E827" s="29"/>
      <c r="F827" s="29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" x14ac:dyDescent="0.15">
      <c r="A828" s="28"/>
      <c r="B828" s="28"/>
      <c r="C828" s="28"/>
      <c r="D828" s="28"/>
      <c r="E828" s="29"/>
      <c r="F828" s="29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" x14ac:dyDescent="0.15">
      <c r="A829" s="28"/>
      <c r="B829" s="28"/>
      <c r="C829" s="28"/>
      <c r="D829" s="28"/>
      <c r="E829" s="29"/>
      <c r="F829" s="29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" x14ac:dyDescent="0.15">
      <c r="A830" s="28"/>
      <c r="B830" s="28"/>
      <c r="C830" s="28"/>
      <c r="D830" s="28"/>
      <c r="E830" s="29"/>
      <c r="F830" s="29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" x14ac:dyDescent="0.15">
      <c r="A831" s="28"/>
      <c r="B831" s="28"/>
      <c r="C831" s="28"/>
      <c r="D831" s="28"/>
      <c r="E831" s="29"/>
      <c r="F831" s="29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" x14ac:dyDescent="0.15">
      <c r="A832" s="28"/>
      <c r="B832" s="28"/>
      <c r="C832" s="28"/>
      <c r="D832" s="28"/>
      <c r="E832" s="29"/>
      <c r="F832" s="29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" x14ac:dyDescent="0.15">
      <c r="A833" s="28"/>
      <c r="B833" s="28"/>
      <c r="C833" s="28"/>
      <c r="D833" s="28"/>
      <c r="E833" s="29"/>
      <c r="F833" s="29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" x14ac:dyDescent="0.15">
      <c r="A834" s="28"/>
      <c r="B834" s="28"/>
      <c r="C834" s="28"/>
      <c r="D834" s="28"/>
      <c r="E834" s="29"/>
      <c r="F834" s="29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" x14ac:dyDescent="0.15">
      <c r="A835" s="28"/>
      <c r="B835" s="28"/>
      <c r="C835" s="28"/>
      <c r="D835" s="28"/>
      <c r="E835" s="29"/>
      <c r="F835" s="29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" x14ac:dyDescent="0.15">
      <c r="A836" s="28"/>
      <c r="B836" s="28"/>
      <c r="C836" s="28"/>
      <c r="D836" s="28"/>
      <c r="E836" s="29"/>
      <c r="F836" s="29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" x14ac:dyDescent="0.15">
      <c r="A837" s="28"/>
      <c r="B837" s="28"/>
      <c r="C837" s="28"/>
      <c r="D837" s="28"/>
      <c r="E837" s="29"/>
      <c r="F837" s="29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" x14ac:dyDescent="0.15">
      <c r="A838" s="28"/>
      <c r="B838" s="28"/>
      <c r="C838" s="28"/>
      <c r="D838" s="28"/>
      <c r="E838" s="29"/>
      <c r="F838" s="29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" x14ac:dyDescent="0.15">
      <c r="A839" s="28"/>
      <c r="B839" s="28"/>
      <c r="C839" s="28"/>
      <c r="D839" s="28"/>
      <c r="E839" s="29"/>
      <c r="F839" s="29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" x14ac:dyDescent="0.15">
      <c r="A840" s="28"/>
      <c r="B840" s="28"/>
      <c r="C840" s="28"/>
      <c r="D840" s="28"/>
      <c r="E840" s="29"/>
      <c r="F840" s="29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" x14ac:dyDescent="0.15">
      <c r="A841" s="28"/>
      <c r="B841" s="28"/>
      <c r="C841" s="28"/>
      <c r="D841" s="28"/>
      <c r="E841" s="29"/>
      <c r="F841" s="29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" x14ac:dyDescent="0.15">
      <c r="A842" s="28"/>
      <c r="B842" s="28"/>
      <c r="C842" s="28"/>
      <c r="D842" s="28"/>
      <c r="E842" s="29"/>
      <c r="F842" s="29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" x14ac:dyDescent="0.15">
      <c r="A843" s="28"/>
      <c r="B843" s="28"/>
      <c r="C843" s="28"/>
      <c r="D843" s="28"/>
      <c r="E843" s="29"/>
      <c r="F843" s="29"/>
      <c r="G843" s="29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" x14ac:dyDescent="0.15">
      <c r="A844" s="28"/>
      <c r="B844" s="28"/>
      <c r="C844" s="28"/>
      <c r="D844" s="28"/>
      <c r="E844" s="29"/>
      <c r="F844" s="29"/>
      <c r="G844" s="29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" x14ac:dyDescent="0.15">
      <c r="A845" s="28"/>
      <c r="B845" s="28"/>
      <c r="C845" s="28"/>
      <c r="D845" s="28"/>
      <c r="E845" s="29"/>
      <c r="F845" s="29"/>
      <c r="G845" s="29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" x14ac:dyDescent="0.15">
      <c r="A846" s="28"/>
      <c r="B846" s="28"/>
      <c r="C846" s="28"/>
      <c r="D846" s="28"/>
      <c r="E846" s="29"/>
      <c r="F846" s="29"/>
      <c r="G846" s="29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" x14ac:dyDescent="0.15">
      <c r="A847" s="28"/>
      <c r="B847" s="28"/>
      <c r="C847" s="28"/>
      <c r="D847" s="28"/>
      <c r="E847" s="29"/>
      <c r="F847" s="29"/>
      <c r="G847" s="29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" x14ac:dyDescent="0.15">
      <c r="A848" s="28"/>
      <c r="B848" s="28"/>
      <c r="C848" s="28"/>
      <c r="D848" s="28"/>
      <c r="E848" s="29"/>
      <c r="F848" s="29"/>
      <c r="G848" s="29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" x14ac:dyDescent="0.15">
      <c r="A849" s="28"/>
      <c r="B849" s="28"/>
      <c r="C849" s="28"/>
      <c r="D849" s="28"/>
      <c r="E849" s="29"/>
      <c r="F849" s="29"/>
      <c r="G849" s="29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" x14ac:dyDescent="0.15">
      <c r="A850" s="28"/>
      <c r="B850" s="28"/>
      <c r="C850" s="28"/>
      <c r="D850" s="28"/>
      <c r="E850" s="29"/>
      <c r="F850" s="29"/>
      <c r="G850" s="29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" x14ac:dyDescent="0.15">
      <c r="A851" s="28"/>
      <c r="B851" s="28"/>
      <c r="C851" s="28"/>
      <c r="D851" s="28"/>
      <c r="E851" s="29"/>
      <c r="F851" s="29"/>
      <c r="G851" s="29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" x14ac:dyDescent="0.15">
      <c r="A852" s="28"/>
      <c r="B852" s="28"/>
      <c r="C852" s="28"/>
      <c r="D852" s="28"/>
      <c r="E852" s="29"/>
      <c r="F852" s="29"/>
      <c r="G852" s="29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" x14ac:dyDescent="0.15">
      <c r="A853" s="28"/>
      <c r="B853" s="28"/>
      <c r="C853" s="28"/>
      <c r="D853" s="28"/>
      <c r="E853" s="29"/>
      <c r="F853" s="29"/>
      <c r="G853" s="29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" x14ac:dyDescent="0.15">
      <c r="A854" s="28"/>
      <c r="B854" s="28"/>
      <c r="C854" s="28"/>
      <c r="D854" s="28"/>
      <c r="E854" s="29"/>
      <c r="F854" s="29"/>
      <c r="G854" s="29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" x14ac:dyDescent="0.15">
      <c r="A855" s="28"/>
      <c r="B855" s="28"/>
      <c r="C855" s="28"/>
      <c r="D855" s="28"/>
      <c r="E855" s="29"/>
      <c r="F855" s="29"/>
      <c r="G855" s="29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" x14ac:dyDescent="0.15">
      <c r="A856" s="28"/>
      <c r="B856" s="28"/>
      <c r="C856" s="28"/>
      <c r="D856" s="28"/>
      <c r="E856" s="29"/>
      <c r="F856" s="29"/>
      <c r="G856" s="29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" x14ac:dyDescent="0.15">
      <c r="A857" s="28"/>
      <c r="B857" s="28"/>
      <c r="C857" s="28"/>
      <c r="D857" s="28"/>
      <c r="E857" s="29"/>
      <c r="F857" s="29"/>
      <c r="G857" s="29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" x14ac:dyDescent="0.15">
      <c r="A858" s="28"/>
      <c r="B858" s="28"/>
      <c r="C858" s="28"/>
      <c r="D858" s="28"/>
      <c r="E858" s="29"/>
      <c r="F858" s="29"/>
      <c r="G858" s="29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" x14ac:dyDescent="0.15">
      <c r="A859" s="28"/>
      <c r="B859" s="28"/>
      <c r="C859" s="28"/>
      <c r="D859" s="28"/>
      <c r="E859" s="29"/>
      <c r="F859" s="29"/>
      <c r="G859" s="29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" x14ac:dyDescent="0.15">
      <c r="A860" s="28"/>
      <c r="B860" s="28"/>
      <c r="C860" s="28"/>
      <c r="D860" s="28"/>
      <c r="E860" s="29"/>
      <c r="F860" s="29"/>
      <c r="G860" s="29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" x14ac:dyDescent="0.15">
      <c r="A861" s="28"/>
      <c r="B861" s="28"/>
      <c r="C861" s="28"/>
      <c r="D861" s="28"/>
      <c r="E861" s="29"/>
      <c r="F861" s="29"/>
      <c r="G861" s="29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" x14ac:dyDescent="0.15">
      <c r="A862" s="28"/>
      <c r="B862" s="28"/>
      <c r="C862" s="28"/>
      <c r="D862" s="28"/>
      <c r="E862" s="29"/>
      <c r="F862" s="29"/>
      <c r="G862" s="29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" x14ac:dyDescent="0.15">
      <c r="A863" s="28"/>
      <c r="B863" s="28"/>
      <c r="C863" s="28"/>
      <c r="D863" s="28"/>
      <c r="E863" s="29"/>
      <c r="F863" s="29"/>
      <c r="G863" s="29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" x14ac:dyDescent="0.15">
      <c r="A864" s="28"/>
      <c r="B864" s="28"/>
      <c r="C864" s="28"/>
      <c r="D864" s="28"/>
      <c r="E864" s="29"/>
      <c r="F864" s="29"/>
      <c r="G864" s="29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" x14ac:dyDescent="0.15">
      <c r="A865" s="28"/>
      <c r="B865" s="28"/>
      <c r="C865" s="28"/>
      <c r="D865" s="28"/>
      <c r="E865" s="29"/>
      <c r="F865" s="29"/>
      <c r="G865" s="29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" x14ac:dyDescent="0.15">
      <c r="A866" s="28"/>
      <c r="B866" s="28"/>
      <c r="C866" s="28"/>
      <c r="D866" s="28"/>
      <c r="E866" s="29"/>
      <c r="F866" s="29"/>
      <c r="G866" s="29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" x14ac:dyDescent="0.15">
      <c r="A867" s="28"/>
      <c r="B867" s="28"/>
      <c r="C867" s="28"/>
      <c r="D867" s="28"/>
      <c r="E867" s="29"/>
      <c r="F867" s="29"/>
      <c r="G867" s="29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" x14ac:dyDescent="0.15">
      <c r="A868" s="28"/>
      <c r="B868" s="28"/>
      <c r="C868" s="28"/>
      <c r="D868" s="28"/>
      <c r="E868" s="29"/>
      <c r="F868" s="29"/>
      <c r="G868" s="29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" x14ac:dyDescent="0.15">
      <c r="A869" s="28"/>
      <c r="B869" s="28"/>
      <c r="C869" s="28"/>
      <c r="D869" s="28"/>
      <c r="E869" s="29"/>
      <c r="F869" s="29"/>
      <c r="G869" s="29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" x14ac:dyDescent="0.15">
      <c r="A870" s="28"/>
      <c r="B870" s="28"/>
      <c r="C870" s="28"/>
      <c r="D870" s="28"/>
      <c r="E870" s="29"/>
      <c r="F870" s="29"/>
      <c r="G870" s="29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" x14ac:dyDescent="0.15">
      <c r="A871" s="28"/>
      <c r="B871" s="28"/>
      <c r="C871" s="28"/>
      <c r="D871" s="28"/>
      <c r="E871" s="29"/>
      <c r="F871" s="29"/>
      <c r="G871" s="29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" x14ac:dyDescent="0.15">
      <c r="A872" s="28"/>
      <c r="B872" s="28"/>
      <c r="C872" s="28"/>
      <c r="D872" s="28"/>
      <c r="E872" s="29"/>
      <c r="F872" s="29"/>
      <c r="G872" s="29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" x14ac:dyDescent="0.15">
      <c r="A873" s="28"/>
      <c r="B873" s="28"/>
      <c r="C873" s="28"/>
      <c r="D873" s="28"/>
      <c r="E873" s="29"/>
      <c r="F873" s="29"/>
      <c r="G873" s="29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" x14ac:dyDescent="0.15">
      <c r="A874" s="28"/>
      <c r="B874" s="28"/>
      <c r="C874" s="28"/>
      <c r="D874" s="28"/>
      <c r="E874" s="29"/>
      <c r="F874" s="29"/>
      <c r="G874" s="29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" x14ac:dyDescent="0.15">
      <c r="A875" s="28"/>
      <c r="B875" s="28"/>
      <c r="C875" s="28"/>
      <c r="D875" s="28"/>
      <c r="E875" s="29"/>
      <c r="F875" s="29"/>
      <c r="G875" s="29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" x14ac:dyDescent="0.15">
      <c r="A876" s="28"/>
      <c r="B876" s="28"/>
      <c r="C876" s="28"/>
      <c r="D876" s="28"/>
      <c r="E876" s="29"/>
      <c r="F876" s="29"/>
      <c r="G876" s="29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" x14ac:dyDescent="0.15">
      <c r="A877" s="28"/>
      <c r="B877" s="28"/>
      <c r="C877" s="28"/>
      <c r="D877" s="28"/>
      <c r="E877" s="29"/>
      <c r="F877" s="29"/>
      <c r="G877" s="29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" x14ac:dyDescent="0.15">
      <c r="A878" s="28"/>
      <c r="B878" s="28"/>
      <c r="C878" s="28"/>
      <c r="D878" s="28"/>
      <c r="E878" s="29"/>
      <c r="F878" s="29"/>
      <c r="G878" s="29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" x14ac:dyDescent="0.15">
      <c r="A879" s="28"/>
      <c r="B879" s="28"/>
      <c r="C879" s="28"/>
      <c r="D879" s="28"/>
      <c r="E879" s="29"/>
      <c r="F879" s="29"/>
      <c r="G879" s="29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" x14ac:dyDescent="0.15">
      <c r="A880" s="28"/>
      <c r="B880" s="28"/>
      <c r="C880" s="28"/>
      <c r="D880" s="28"/>
      <c r="E880" s="29"/>
      <c r="F880" s="29"/>
      <c r="G880" s="29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" x14ac:dyDescent="0.15">
      <c r="A881" s="28"/>
      <c r="B881" s="28"/>
      <c r="C881" s="28"/>
      <c r="D881" s="28"/>
      <c r="E881" s="29"/>
      <c r="F881" s="29"/>
      <c r="G881" s="29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" x14ac:dyDescent="0.15">
      <c r="A882" s="28"/>
      <c r="B882" s="28"/>
      <c r="C882" s="28"/>
      <c r="D882" s="28"/>
      <c r="E882" s="29"/>
      <c r="F882" s="29"/>
      <c r="G882" s="29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" x14ac:dyDescent="0.15">
      <c r="A883" s="28"/>
      <c r="B883" s="28"/>
      <c r="C883" s="28"/>
      <c r="D883" s="28"/>
      <c r="E883" s="29"/>
      <c r="F883" s="29"/>
      <c r="G883" s="29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" x14ac:dyDescent="0.15">
      <c r="A884" s="28"/>
      <c r="B884" s="28"/>
      <c r="C884" s="28"/>
      <c r="D884" s="28"/>
      <c r="E884" s="29"/>
      <c r="F884" s="29"/>
      <c r="G884" s="29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" x14ac:dyDescent="0.15">
      <c r="A885" s="28"/>
      <c r="B885" s="28"/>
      <c r="C885" s="28"/>
      <c r="D885" s="28"/>
      <c r="E885" s="29"/>
      <c r="F885" s="29"/>
      <c r="G885" s="29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" x14ac:dyDescent="0.15">
      <c r="A886" s="28"/>
      <c r="B886" s="28"/>
      <c r="C886" s="28"/>
      <c r="D886" s="28"/>
      <c r="E886" s="29"/>
      <c r="F886" s="29"/>
      <c r="G886" s="29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" x14ac:dyDescent="0.15">
      <c r="A887" s="28"/>
      <c r="B887" s="28"/>
      <c r="C887" s="28"/>
      <c r="D887" s="28"/>
      <c r="E887" s="29"/>
      <c r="F887" s="29"/>
      <c r="G887" s="29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" x14ac:dyDescent="0.15">
      <c r="A888" s="28"/>
      <c r="B888" s="28"/>
      <c r="C888" s="28"/>
      <c r="D888" s="28"/>
      <c r="E888" s="29"/>
      <c r="F888" s="29"/>
      <c r="G888" s="29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" x14ac:dyDescent="0.15">
      <c r="A889" s="28"/>
      <c r="B889" s="28"/>
      <c r="C889" s="28"/>
      <c r="D889" s="28"/>
      <c r="E889" s="29"/>
      <c r="F889" s="29"/>
      <c r="G889" s="29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" x14ac:dyDescent="0.15">
      <c r="A890" s="28"/>
      <c r="B890" s="28"/>
      <c r="C890" s="28"/>
      <c r="D890" s="28"/>
      <c r="E890" s="29"/>
      <c r="F890" s="29"/>
      <c r="G890" s="29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" x14ac:dyDescent="0.15">
      <c r="A891" s="28"/>
      <c r="B891" s="28"/>
      <c r="C891" s="28"/>
      <c r="D891" s="28"/>
      <c r="E891" s="29"/>
      <c r="F891" s="29"/>
      <c r="G891" s="29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" x14ac:dyDescent="0.15">
      <c r="A892" s="28"/>
      <c r="B892" s="28"/>
      <c r="C892" s="28"/>
      <c r="D892" s="28"/>
      <c r="E892" s="29"/>
      <c r="F892" s="29"/>
      <c r="G892" s="29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" x14ac:dyDescent="0.15">
      <c r="A893" s="28"/>
      <c r="B893" s="28"/>
      <c r="C893" s="28"/>
      <c r="D893" s="28"/>
      <c r="E893" s="29"/>
      <c r="F893" s="29"/>
      <c r="G893" s="29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" x14ac:dyDescent="0.15">
      <c r="A894" s="28"/>
      <c r="B894" s="28"/>
      <c r="C894" s="28"/>
      <c r="D894" s="28"/>
      <c r="E894" s="29"/>
      <c r="F894" s="29"/>
      <c r="G894" s="29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" x14ac:dyDescent="0.15">
      <c r="A895" s="28"/>
      <c r="B895" s="28"/>
      <c r="C895" s="28"/>
      <c r="D895" s="28"/>
      <c r="E895" s="29"/>
      <c r="F895" s="29"/>
      <c r="G895" s="29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" x14ac:dyDescent="0.15">
      <c r="A896" s="28"/>
      <c r="B896" s="28"/>
      <c r="C896" s="28"/>
      <c r="D896" s="28"/>
      <c r="E896" s="29"/>
      <c r="F896" s="29"/>
      <c r="G896" s="29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" x14ac:dyDescent="0.15">
      <c r="A897" s="28"/>
      <c r="B897" s="28"/>
      <c r="C897" s="28"/>
      <c r="D897" s="28"/>
      <c r="E897" s="29"/>
      <c r="F897" s="29"/>
      <c r="G897" s="29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" x14ac:dyDescent="0.15">
      <c r="A898" s="28"/>
      <c r="B898" s="28"/>
      <c r="C898" s="28"/>
      <c r="D898" s="28"/>
      <c r="E898" s="29"/>
      <c r="F898" s="29"/>
      <c r="G898" s="29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" x14ac:dyDescent="0.15">
      <c r="A899" s="28"/>
      <c r="B899" s="28"/>
      <c r="C899" s="28"/>
      <c r="D899" s="28"/>
      <c r="E899" s="29"/>
      <c r="F899" s="29"/>
      <c r="G899" s="29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" x14ac:dyDescent="0.15">
      <c r="A900" s="28"/>
      <c r="B900" s="28"/>
      <c r="C900" s="28"/>
      <c r="D900" s="28"/>
      <c r="E900" s="29"/>
      <c r="F900" s="29"/>
      <c r="G900" s="29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" x14ac:dyDescent="0.15">
      <c r="A901" s="28"/>
      <c r="B901" s="28"/>
      <c r="C901" s="28"/>
      <c r="D901" s="28"/>
      <c r="E901" s="29"/>
      <c r="F901" s="29"/>
      <c r="G901" s="29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" x14ac:dyDescent="0.15">
      <c r="A902" s="28"/>
      <c r="B902" s="28"/>
      <c r="C902" s="28"/>
      <c r="D902" s="28"/>
      <c r="E902" s="29"/>
      <c r="F902" s="29"/>
      <c r="G902" s="29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" x14ac:dyDescent="0.15">
      <c r="A903" s="28"/>
      <c r="B903" s="28"/>
      <c r="C903" s="28"/>
      <c r="D903" s="28"/>
      <c r="E903" s="29"/>
      <c r="F903" s="29"/>
      <c r="G903" s="29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" x14ac:dyDescent="0.15">
      <c r="A904" s="28"/>
      <c r="B904" s="28"/>
      <c r="C904" s="28"/>
      <c r="D904" s="28"/>
      <c r="E904" s="29"/>
      <c r="F904" s="29"/>
      <c r="G904" s="29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" x14ac:dyDescent="0.15">
      <c r="A905" s="28"/>
      <c r="B905" s="28"/>
      <c r="C905" s="28"/>
      <c r="D905" s="28"/>
      <c r="E905" s="29"/>
      <c r="F905" s="29"/>
      <c r="G905" s="29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" x14ac:dyDescent="0.15">
      <c r="A906" s="28"/>
      <c r="B906" s="28"/>
      <c r="C906" s="28"/>
      <c r="D906" s="28"/>
      <c r="E906" s="29"/>
      <c r="F906" s="29"/>
      <c r="G906" s="29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" x14ac:dyDescent="0.15">
      <c r="A907" s="28"/>
      <c r="B907" s="28"/>
      <c r="C907" s="28"/>
      <c r="D907" s="28"/>
      <c r="E907" s="29"/>
      <c r="F907" s="29"/>
      <c r="G907" s="29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" x14ac:dyDescent="0.15">
      <c r="A908" s="28"/>
      <c r="B908" s="28"/>
      <c r="C908" s="28"/>
      <c r="D908" s="28"/>
      <c r="E908" s="29"/>
      <c r="F908" s="29"/>
      <c r="G908" s="29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" x14ac:dyDescent="0.15">
      <c r="A909" s="28"/>
      <c r="B909" s="28"/>
      <c r="C909" s="28"/>
      <c r="D909" s="28"/>
      <c r="E909" s="29"/>
      <c r="F909" s="29"/>
      <c r="G909" s="29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" x14ac:dyDescent="0.15">
      <c r="A910" s="28"/>
      <c r="B910" s="28"/>
      <c r="C910" s="28"/>
      <c r="D910" s="28"/>
      <c r="E910" s="29"/>
      <c r="F910" s="29"/>
      <c r="G910" s="29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" x14ac:dyDescent="0.15">
      <c r="A911" s="28"/>
      <c r="B911" s="28"/>
      <c r="C911" s="28"/>
      <c r="D911" s="28"/>
      <c r="E911" s="29"/>
      <c r="F911" s="29"/>
      <c r="G911" s="29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" x14ac:dyDescent="0.15">
      <c r="A912" s="28"/>
      <c r="B912" s="28"/>
      <c r="C912" s="28"/>
      <c r="D912" s="28"/>
      <c r="E912" s="29"/>
      <c r="F912" s="29"/>
      <c r="G912" s="29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" x14ac:dyDescent="0.15">
      <c r="A913" s="28"/>
      <c r="B913" s="28"/>
      <c r="C913" s="28"/>
      <c r="D913" s="28"/>
      <c r="E913" s="29"/>
      <c r="F913" s="29"/>
      <c r="G913" s="29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" x14ac:dyDescent="0.15">
      <c r="A914" s="28"/>
      <c r="B914" s="28"/>
      <c r="C914" s="28"/>
      <c r="D914" s="28"/>
      <c r="E914" s="29"/>
      <c r="F914" s="29"/>
      <c r="G914" s="29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" x14ac:dyDescent="0.15">
      <c r="A915" s="28"/>
      <c r="B915" s="28"/>
      <c r="C915" s="28"/>
      <c r="D915" s="28"/>
      <c r="E915" s="29"/>
      <c r="F915" s="29"/>
      <c r="G915" s="29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" x14ac:dyDescent="0.15">
      <c r="A916" s="28"/>
      <c r="B916" s="28"/>
      <c r="C916" s="28"/>
      <c r="D916" s="28"/>
      <c r="E916" s="29"/>
      <c r="F916" s="29"/>
      <c r="G916" s="29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" x14ac:dyDescent="0.15">
      <c r="A917" s="28"/>
      <c r="B917" s="28"/>
      <c r="C917" s="28"/>
      <c r="D917" s="28"/>
      <c r="E917" s="29"/>
      <c r="F917" s="29"/>
      <c r="G917" s="29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" x14ac:dyDescent="0.15">
      <c r="A918" s="28"/>
      <c r="B918" s="28"/>
      <c r="C918" s="28"/>
      <c r="D918" s="28"/>
      <c r="E918" s="29"/>
      <c r="F918" s="29"/>
      <c r="G918" s="29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" x14ac:dyDescent="0.15">
      <c r="A919" s="28"/>
      <c r="B919" s="28"/>
      <c r="C919" s="28"/>
      <c r="D919" s="28"/>
      <c r="E919" s="29"/>
      <c r="F919" s="29"/>
      <c r="G919" s="29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" x14ac:dyDescent="0.15">
      <c r="A920" s="28"/>
      <c r="B920" s="28"/>
      <c r="C920" s="28"/>
      <c r="D920" s="28"/>
      <c r="E920" s="29"/>
      <c r="F920" s="29"/>
      <c r="G920" s="29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" x14ac:dyDescent="0.15">
      <c r="A921" s="28"/>
      <c r="B921" s="28"/>
      <c r="C921" s="28"/>
      <c r="D921" s="28"/>
      <c r="E921" s="29"/>
      <c r="F921" s="29"/>
      <c r="G921" s="29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" x14ac:dyDescent="0.15">
      <c r="A922" s="28"/>
      <c r="B922" s="28"/>
      <c r="C922" s="28"/>
      <c r="D922" s="28"/>
      <c r="E922" s="29"/>
      <c r="F922" s="29"/>
      <c r="G922" s="29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" x14ac:dyDescent="0.15">
      <c r="A923" s="28"/>
      <c r="B923" s="28"/>
      <c r="C923" s="28"/>
      <c r="D923" s="28"/>
      <c r="E923" s="29"/>
      <c r="F923" s="29"/>
      <c r="G923" s="29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" x14ac:dyDescent="0.15">
      <c r="A924" s="28"/>
      <c r="B924" s="28"/>
      <c r="C924" s="28"/>
      <c r="D924" s="28"/>
      <c r="E924" s="29"/>
      <c r="F924" s="29"/>
      <c r="G924" s="29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" x14ac:dyDescent="0.15">
      <c r="A925" s="28"/>
      <c r="B925" s="28"/>
      <c r="C925" s="28"/>
      <c r="D925" s="28"/>
      <c r="E925" s="29"/>
      <c r="F925" s="29"/>
      <c r="G925" s="29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" x14ac:dyDescent="0.15">
      <c r="A926" s="28"/>
      <c r="B926" s="28"/>
      <c r="C926" s="28"/>
      <c r="D926" s="28"/>
      <c r="E926" s="29"/>
      <c r="F926" s="29"/>
      <c r="G926" s="29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" x14ac:dyDescent="0.15">
      <c r="A927" s="28"/>
      <c r="B927" s="28"/>
      <c r="C927" s="28"/>
      <c r="D927" s="28"/>
      <c r="E927" s="29"/>
      <c r="F927" s="29"/>
      <c r="G927" s="29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" x14ac:dyDescent="0.15">
      <c r="A928" s="28"/>
      <c r="B928" s="28"/>
      <c r="C928" s="28"/>
      <c r="D928" s="28"/>
      <c r="E928" s="29"/>
      <c r="F928" s="29"/>
      <c r="G928" s="29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" x14ac:dyDescent="0.15">
      <c r="A929" s="28"/>
      <c r="B929" s="28"/>
      <c r="C929" s="28"/>
      <c r="D929" s="28"/>
      <c r="E929" s="29"/>
      <c r="F929" s="29"/>
      <c r="G929" s="29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" x14ac:dyDescent="0.15">
      <c r="A930" s="28"/>
      <c r="B930" s="28"/>
      <c r="C930" s="28"/>
      <c r="D930" s="28"/>
      <c r="E930" s="29"/>
      <c r="F930" s="29"/>
      <c r="G930" s="29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" x14ac:dyDescent="0.15">
      <c r="A931" s="28"/>
      <c r="B931" s="28"/>
      <c r="C931" s="28"/>
      <c r="D931" s="28"/>
      <c r="E931" s="29"/>
      <c r="F931" s="29"/>
      <c r="G931" s="29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" x14ac:dyDescent="0.15">
      <c r="A932" s="28"/>
      <c r="B932" s="28"/>
      <c r="C932" s="28"/>
      <c r="D932" s="28"/>
      <c r="E932" s="29"/>
      <c r="F932" s="29"/>
      <c r="G932" s="29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" x14ac:dyDescent="0.15">
      <c r="A933" s="28"/>
      <c r="B933" s="28"/>
      <c r="C933" s="28"/>
      <c r="D933" s="28"/>
      <c r="E933" s="29"/>
      <c r="F933" s="29"/>
      <c r="G933" s="29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" x14ac:dyDescent="0.15">
      <c r="A934" s="28"/>
      <c r="B934" s="28"/>
      <c r="C934" s="28"/>
      <c r="D934" s="28"/>
      <c r="E934" s="29"/>
      <c r="F934" s="29"/>
      <c r="G934" s="29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" x14ac:dyDescent="0.15">
      <c r="A935" s="28"/>
      <c r="B935" s="28"/>
      <c r="C935" s="28"/>
      <c r="D935" s="28"/>
      <c r="E935" s="29"/>
      <c r="F935" s="29"/>
      <c r="G935" s="29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</sheetData>
  <conditionalFormatting sqref="E2:G935">
    <cfRule type="cellIs" dxfId="86" priority="1" operator="greaterThan">
      <formula>0</formula>
    </cfRule>
    <cfRule type="cellIs" dxfId="85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4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4.1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1" ht="15.75" customHeight="1" x14ac:dyDescent="0.25">
      <c r="A1" s="45" t="s">
        <v>4</v>
      </c>
      <c r="B1" s="45" t="s">
        <v>72</v>
      </c>
      <c r="C1" s="45" t="s">
        <v>73</v>
      </c>
      <c r="D1" s="46" t="s">
        <v>74</v>
      </c>
      <c r="E1" s="45" t="s">
        <v>5</v>
      </c>
      <c r="F1" s="46" t="s">
        <v>6</v>
      </c>
      <c r="G1" s="45" t="s">
        <v>75</v>
      </c>
      <c r="H1" s="45" t="s">
        <v>2</v>
      </c>
      <c r="I1" s="47"/>
      <c r="J1" s="47"/>
      <c r="K1" s="47"/>
    </row>
    <row r="2" spans="1:11" ht="15.75" customHeight="1" x14ac:dyDescent="0.25">
      <c r="A2" s="45" t="s">
        <v>19</v>
      </c>
      <c r="B2" s="47"/>
      <c r="C2" s="47"/>
      <c r="D2" s="47"/>
      <c r="E2" s="48"/>
      <c r="F2" s="48"/>
      <c r="G2" s="48"/>
      <c r="H2" s="47"/>
      <c r="I2" s="47"/>
      <c r="J2" s="47"/>
      <c r="K2" s="47"/>
    </row>
    <row r="3" spans="1:11" ht="14" x14ac:dyDescent="0.2">
      <c r="A3" s="49" t="s">
        <v>76</v>
      </c>
      <c r="B3" s="50" t="s">
        <v>197</v>
      </c>
      <c r="C3" s="49"/>
      <c r="D3" s="49"/>
      <c r="E3" s="51"/>
      <c r="F3" s="51"/>
      <c r="G3" s="51"/>
      <c r="H3" s="49"/>
      <c r="I3" s="49"/>
      <c r="J3" s="49"/>
      <c r="K3" s="47"/>
    </row>
    <row r="4" spans="1:11" ht="14" x14ac:dyDescent="0.2">
      <c r="A4" s="49"/>
      <c r="B4" s="49"/>
      <c r="C4" s="49" t="s">
        <v>198</v>
      </c>
      <c r="D4" s="49">
        <v>3989</v>
      </c>
      <c r="E4" s="51">
        <v>9000</v>
      </c>
      <c r="F4" s="51" t="s">
        <v>199</v>
      </c>
      <c r="G4" s="51"/>
      <c r="H4" s="49"/>
      <c r="I4" s="49"/>
      <c r="J4" s="1" t="s">
        <v>200</v>
      </c>
      <c r="K4" s="47"/>
    </row>
    <row r="5" spans="1:11" ht="14" x14ac:dyDescent="0.2">
      <c r="A5" s="49"/>
      <c r="B5" s="49"/>
      <c r="C5" s="49" t="s">
        <v>88</v>
      </c>
      <c r="D5" s="49" t="s">
        <v>89</v>
      </c>
      <c r="E5" s="51">
        <v>44000</v>
      </c>
      <c r="F5" s="51" t="s">
        <v>199</v>
      </c>
      <c r="G5" s="51"/>
      <c r="H5" s="49"/>
      <c r="I5" s="49" t="s">
        <v>201</v>
      </c>
      <c r="J5" s="1" t="s">
        <v>202</v>
      </c>
      <c r="K5" s="47"/>
    </row>
    <row r="6" spans="1:11" ht="14" x14ac:dyDescent="0.2">
      <c r="A6" s="49"/>
      <c r="B6" s="49"/>
      <c r="C6" s="49" t="s">
        <v>96</v>
      </c>
      <c r="D6" s="49">
        <v>5411</v>
      </c>
      <c r="E6" s="52" t="s">
        <v>199</v>
      </c>
      <c r="F6" s="53">
        <v>-3000</v>
      </c>
      <c r="G6" s="51"/>
      <c r="H6" s="49"/>
      <c r="I6" s="49"/>
      <c r="J6" s="1" t="s">
        <v>203</v>
      </c>
      <c r="K6" s="47"/>
    </row>
    <row r="7" spans="1:11" ht="14" x14ac:dyDescent="0.2">
      <c r="A7" s="49"/>
      <c r="B7" s="49"/>
      <c r="C7" s="49" t="s">
        <v>98</v>
      </c>
      <c r="D7" s="49">
        <v>5463</v>
      </c>
      <c r="E7" s="52" t="s">
        <v>199</v>
      </c>
      <c r="F7" s="53">
        <v>-1500</v>
      </c>
      <c r="G7" s="51"/>
      <c r="H7" s="49"/>
      <c r="I7" s="49"/>
      <c r="J7" s="54"/>
      <c r="K7" s="47"/>
    </row>
    <row r="8" spans="1:11" ht="14" x14ac:dyDescent="0.2">
      <c r="A8" s="49"/>
      <c r="B8" s="49"/>
      <c r="C8" s="49" t="s">
        <v>151</v>
      </c>
      <c r="D8" s="49">
        <v>5010</v>
      </c>
      <c r="E8" s="52" t="s">
        <v>199</v>
      </c>
      <c r="F8" s="53">
        <v>-7700</v>
      </c>
      <c r="G8" s="51"/>
      <c r="H8" s="49"/>
      <c r="I8" s="49"/>
      <c r="J8" s="54" t="s">
        <v>204</v>
      </c>
      <c r="K8" s="47"/>
    </row>
    <row r="9" spans="1:11" ht="14" x14ac:dyDescent="0.2">
      <c r="A9" s="49"/>
      <c r="B9" s="50"/>
      <c r="C9" s="49" t="s">
        <v>172</v>
      </c>
      <c r="D9" s="49">
        <v>4029</v>
      </c>
      <c r="E9" s="52" t="s">
        <v>199</v>
      </c>
      <c r="F9" s="53">
        <v>-10000</v>
      </c>
      <c r="G9" s="51"/>
      <c r="H9" s="49"/>
      <c r="I9" s="49"/>
      <c r="J9" s="54" t="s">
        <v>205</v>
      </c>
      <c r="K9" s="47"/>
    </row>
    <row r="10" spans="1:11" ht="14" x14ac:dyDescent="0.2">
      <c r="A10" s="49"/>
      <c r="B10" s="49"/>
      <c r="C10" s="49" t="s">
        <v>99</v>
      </c>
      <c r="D10" s="49">
        <v>4027</v>
      </c>
      <c r="E10" s="52" t="s">
        <v>199</v>
      </c>
      <c r="F10" s="53">
        <v>-3500</v>
      </c>
      <c r="G10" s="51"/>
      <c r="H10" s="49"/>
      <c r="I10" s="49"/>
      <c r="J10" s="54" t="s">
        <v>206</v>
      </c>
      <c r="K10" s="47"/>
    </row>
    <row r="11" spans="1:11" ht="14" x14ac:dyDescent="0.2">
      <c r="A11" s="49"/>
      <c r="B11" s="49"/>
      <c r="C11" s="49" t="s">
        <v>207</v>
      </c>
      <c r="D11" s="49">
        <v>7691</v>
      </c>
      <c r="E11" s="52" t="s">
        <v>199</v>
      </c>
      <c r="F11" s="53">
        <v>-1000</v>
      </c>
      <c r="G11" s="51"/>
      <c r="H11" s="49"/>
      <c r="I11" s="49"/>
      <c r="J11" s="54" t="s">
        <v>208</v>
      </c>
      <c r="K11" s="47"/>
    </row>
    <row r="12" spans="1:11" ht="14" x14ac:dyDescent="0.2">
      <c r="A12" s="49"/>
      <c r="B12" s="49"/>
      <c r="C12" s="49" t="s">
        <v>91</v>
      </c>
      <c r="D12" s="49" t="s">
        <v>179</v>
      </c>
      <c r="E12" s="52" t="s">
        <v>199</v>
      </c>
      <c r="F12" s="53">
        <v>-20000</v>
      </c>
      <c r="G12" s="51"/>
      <c r="H12" s="49"/>
      <c r="I12" s="49"/>
      <c r="J12" s="54" t="s">
        <v>209</v>
      </c>
      <c r="K12" s="47"/>
    </row>
    <row r="13" spans="1:11" ht="14" x14ac:dyDescent="0.2">
      <c r="A13" s="49"/>
      <c r="B13" s="49"/>
      <c r="C13" s="49" t="s">
        <v>210</v>
      </c>
      <c r="D13" s="49">
        <v>6800</v>
      </c>
      <c r="E13" s="52" t="s">
        <v>199</v>
      </c>
      <c r="F13" s="53">
        <f>-1800-500</f>
        <v>-2300</v>
      </c>
      <c r="G13" s="51"/>
      <c r="H13" s="49"/>
      <c r="I13" s="49"/>
      <c r="J13" s="54" t="s">
        <v>211</v>
      </c>
      <c r="K13" s="47"/>
    </row>
    <row r="14" spans="1:11" ht="14" x14ac:dyDescent="0.2">
      <c r="A14" s="49"/>
      <c r="B14" s="49"/>
      <c r="C14" s="49" t="s">
        <v>212</v>
      </c>
      <c r="D14" s="49">
        <v>5210</v>
      </c>
      <c r="E14" s="51">
        <v>0</v>
      </c>
      <c r="F14" s="51">
        <v>-4000</v>
      </c>
      <c r="G14" s="51"/>
      <c r="H14" s="49"/>
      <c r="I14" s="49" t="s">
        <v>213</v>
      </c>
      <c r="J14" s="49"/>
      <c r="K14" s="47"/>
    </row>
    <row r="15" spans="1:11" ht="14" x14ac:dyDescent="0.2">
      <c r="A15" s="49"/>
      <c r="B15" s="49"/>
      <c r="C15" s="50"/>
      <c r="D15" s="49"/>
      <c r="E15" s="51"/>
      <c r="F15" s="51"/>
      <c r="G15" s="51"/>
      <c r="H15" s="49"/>
      <c r="I15" s="49"/>
      <c r="J15" s="49"/>
      <c r="K15" s="47"/>
    </row>
    <row r="16" spans="1:11" ht="14" x14ac:dyDescent="0.2">
      <c r="A16" s="49"/>
      <c r="B16" s="49"/>
      <c r="C16" s="50" t="s">
        <v>80</v>
      </c>
      <c r="D16" s="49"/>
      <c r="E16" s="51">
        <f t="shared" ref="E16:F16" si="0">SUM(E4:E14)</f>
        <v>53000</v>
      </c>
      <c r="F16" s="51">
        <f t="shared" si="0"/>
        <v>-53000</v>
      </c>
      <c r="G16" s="51">
        <f>E16+F16</f>
        <v>0</v>
      </c>
      <c r="H16" s="49"/>
      <c r="I16" s="49"/>
      <c r="J16" s="49"/>
      <c r="K16" s="47"/>
    </row>
    <row r="17" spans="1:11" ht="14" x14ac:dyDescent="0.2">
      <c r="A17" s="49"/>
      <c r="B17" s="50"/>
      <c r="C17" s="49"/>
      <c r="D17" s="49"/>
      <c r="E17" s="51"/>
      <c r="F17" s="51"/>
      <c r="G17" s="51"/>
      <c r="H17" s="49"/>
      <c r="I17" s="49"/>
      <c r="J17" s="49"/>
      <c r="K17" s="47"/>
    </row>
    <row r="18" spans="1:11" ht="14" x14ac:dyDescent="0.2">
      <c r="A18" s="49"/>
      <c r="B18" s="50" t="s">
        <v>81</v>
      </c>
      <c r="C18" s="49"/>
      <c r="D18" s="49"/>
      <c r="E18" s="51"/>
      <c r="F18" s="51"/>
      <c r="G18" s="51"/>
      <c r="H18" s="49"/>
      <c r="I18" s="49"/>
      <c r="J18" s="49"/>
      <c r="K18" s="47"/>
    </row>
    <row r="19" spans="1:11" ht="14" x14ac:dyDescent="0.2">
      <c r="A19" s="49"/>
      <c r="B19" s="50"/>
      <c r="C19" s="49" t="s">
        <v>83</v>
      </c>
      <c r="D19" s="49">
        <v>7691</v>
      </c>
      <c r="E19" s="51">
        <v>0</v>
      </c>
      <c r="F19" s="51">
        <v>-1350</v>
      </c>
      <c r="G19" s="51"/>
      <c r="H19" s="49"/>
      <c r="I19" s="49"/>
      <c r="J19" s="49"/>
      <c r="K19" s="47"/>
    </row>
    <row r="20" spans="1:11" ht="14" x14ac:dyDescent="0.2">
      <c r="A20" s="49"/>
      <c r="B20" s="50"/>
      <c r="C20" s="49" t="s">
        <v>82</v>
      </c>
      <c r="D20" s="49">
        <v>7631</v>
      </c>
      <c r="E20" s="51">
        <v>0</v>
      </c>
      <c r="F20" s="51">
        <v>-4500</v>
      </c>
      <c r="G20" s="51"/>
      <c r="H20" s="49"/>
      <c r="I20" s="49"/>
      <c r="J20" s="49"/>
      <c r="K20" s="47"/>
    </row>
    <row r="21" spans="1:11" ht="14" x14ac:dyDescent="0.2">
      <c r="A21" s="49"/>
      <c r="B21" s="50"/>
      <c r="C21" s="49" t="s">
        <v>214</v>
      </c>
      <c r="D21" s="49">
        <v>5480</v>
      </c>
      <c r="E21" s="51">
        <v>0</v>
      </c>
      <c r="F21" s="51">
        <v>-4000</v>
      </c>
      <c r="G21" s="51"/>
      <c r="H21" s="49" t="s">
        <v>215</v>
      </c>
      <c r="I21" s="49"/>
      <c r="J21" s="49"/>
      <c r="K21" s="47"/>
    </row>
    <row r="22" spans="1:11" ht="14" x14ac:dyDescent="0.2">
      <c r="A22" s="49"/>
      <c r="B22" s="50"/>
      <c r="C22" s="49"/>
      <c r="D22" s="49"/>
      <c r="E22" s="51"/>
      <c r="F22" s="51"/>
      <c r="G22" s="51"/>
      <c r="H22" s="49"/>
      <c r="I22" s="49"/>
      <c r="J22" s="49"/>
      <c r="K22" s="47"/>
    </row>
    <row r="23" spans="1:11" ht="14" x14ac:dyDescent="0.2">
      <c r="A23" s="49"/>
      <c r="B23" s="50"/>
      <c r="C23" s="50" t="s">
        <v>80</v>
      </c>
      <c r="D23" s="49"/>
      <c r="E23" s="51">
        <f t="shared" ref="E23:F23" si="1">SUM(E19:E21)</f>
        <v>0</v>
      </c>
      <c r="F23" s="51">
        <f t="shared" si="1"/>
        <v>-9850</v>
      </c>
      <c r="G23" s="51">
        <f>E23+F23</f>
        <v>-9850</v>
      </c>
      <c r="H23" s="49"/>
      <c r="I23" s="49"/>
      <c r="J23" s="49"/>
      <c r="K23" s="47"/>
    </row>
    <row r="24" spans="1:11" ht="14" x14ac:dyDescent="0.2">
      <c r="A24" s="49"/>
      <c r="B24" s="50"/>
      <c r="C24" s="49"/>
      <c r="D24" s="49"/>
      <c r="E24" s="51"/>
      <c r="F24" s="51"/>
      <c r="G24" s="51"/>
      <c r="H24" s="49"/>
      <c r="I24" s="49"/>
      <c r="J24" s="49"/>
      <c r="K24" s="47"/>
    </row>
    <row r="25" spans="1:11" ht="14" x14ac:dyDescent="0.2">
      <c r="A25" s="49"/>
      <c r="B25" s="50" t="s">
        <v>216</v>
      </c>
      <c r="C25" s="49"/>
      <c r="D25" s="49"/>
      <c r="E25" s="51"/>
      <c r="F25" s="51"/>
      <c r="G25" s="51"/>
      <c r="H25" s="49"/>
      <c r="I25" s="49" t="s">
        <v>217</v>
      </c>
      <c r="J25" s="49"/>
      <c r="K25" s="47"/>
    </row>
    <row r="26" spans="1:11" ht="14" x14ac:dyDescent="0.2">
      <c r="A26" s="49"/>
      <c r="B26" s="49"/>
      <c r="C26" s="49" t="s">
        <v>177</v>
      </c>
      <c r="D26" s="49">
        <v>3029</v>
      </c>
      <c r="E26" s="51">
        <v>4000</v>
      </c>
      <c r="F26" s="51">
        <v>0</v>
      </c>
      <c r="G26" s="51"/>
      <c r="H26" s="49"/>
      <c r="I26" s="49"/>
      <c r="J26" s="49"/>
      <c r="K26" s="47"/>
    </row>
    <row r="27" spans="1:11" ht="14" x14ac:dyDescent="0.2">
      <c r="A27" s="49"/>
      <c r="B27" s="49"/>
      <c r="C27" s="49" t="s">
        <v>172</v>
      </c>
      <c r="D27" s="49">
        <v>4029</v>
      </c>
      <c r="E27" s="51">
        <v>0</v>
      </c>
      <c r="F27" s="51">
        <v>-4000</v>
      </c>
      <c r="G27" s="51"/>
      <c r="H27" s="49"/>
      <c r="I27" s="49"/>
      <c r="J27" s="49"/>
      <c r="K27" s="47"/>
    </row>
    <row r="28" spans="1:11" ht="14" x14ac:dyDescent="0.2">
      <c r="A28" s="49"/>
      <c r="B28" s="49"/>
      <c r="C28" s="49" t="s">
        <v>96</v>
      </c>
      <c r="D28" s="49">
        <v>5411</v>
      </c>
      <c r="E28" s="51">
        <v>0</v>
      </c>
      <c r="F28" s="51">
        <v>-1000</v>
      </c>
      <c r="G28" s="51"/>
      <c r="H28" s="49"/>
      <c r="I28" s="49" t="s">
        <v>218</v>
      </c>
      <c r="J28" s="49"/>
      <c r="K28" s="47"/>
    </row>
    <row r="29" spans="1:11" ht="14" x14ac:dyDescent="0.2">
      <c r="A29" s="49"/>
      <c r="B29" s="49"/>
      <c r="C29" s="49"/>
      <c r="D29" s="49"/>
      <c r="E29" s="51"/>
      <c r="F29" s="51"/>
      <c r="G29" s="51"/>
      <c r="H29" s="49"/>
      <c r="I29" s="49"/>
      <c r="J29" s="49"/>
      <c r="K29" s="47"/>
    </row>
    <row r="30" spans="1:11" ht="14" x14ac:dyDescent="0.2">
      <c r="A30" s="49"/>
      <c r="B30" s="49"/>
      <c r="C30" s="50" t="s">
        <v>80</v>
      </c>
      <c r="D30" s="49"/>
      <c r="E30" s="51">
        <f t="shared" ref="E30:F30" si="2">SUM(E26:E28)</f>
        <v>4000</v>
      </c>
      <c r="F30" s="51">
        <f t="shared" si="2"/>
        <v>-5000</v>
      </c>
      <c r="G30" s="51">
        <f>E30+F30</f>
        <v>-1000</v>
      </c>
      <c r="H30" s="49"/>
      <c r="I30" s="49"/>
      <c r="J30" s="49"/>
      <c r="K30" s="47"/>
    </row>
    <row r="31" spans="1:11" ht="14" x14ac:dyDescent="0.2">
      <c r="A31" s="49"/>
      <c r="B31" s="49"/>
      <c r="C31" s="49"/>
      <c r="D31" s="49"/>
      <c r="E31" s="51"/>
      <c r="F31" s="51"/>
      <c r="G31" s="51"/>
      <c r="H31" s="49"/>
      <c r="I31" s="49"/>
      <c r="J31" s="49"/>
      <c r="K31" s="47"/>
    </row>
    <row r="32" spans="1:11" ht="14" x14ac:dyDescent="0.2">
      <c r="A32" s="49"/>
      <c r="B32" s="50" t="s">
        <v>219</v>
      </c>
      <c r="C32" s="49"/>
      <c r="D32" s="49"/>
      <c r="E32" s="51"/>
      <c r="F32" s="51"/>
      <c r="G32" s="51"/>
      <c r="H32" s="49"/>
      <c r="I32" s="49"/>
      <c r="J32" s="49"/>
      <c r="K32" s="47"/>
    </row>
    <row r="33" spans="1:11" ht="14" x14ac:dyDescent="0.2">
      <c r="A33" s="49"/>
      <c r="B33" s="49"/>
      <c r="C33" s="49" t="s">
        <v>88</v>
      </c>
      <c r="D33" s="49" t="s">
        <v>89</v>
      </c>
      <c r="E33" s="51">
        <v>8895</v>
      </c>
      <c r="F33" s="51">
        <v>0</v>
      </c>
      <c r="G33" s="48"/>
      <c r="H33" s="49" t="s">
        <v>220</v>
      </c>
      <c r="I33" s="49"/>
      <c r="J33" s="49"/>
      <c r="K33" s="47"/>
    </row>
    <row r="34" spans="1:11" ht="14" x14ac:dyDescent="0.2">
      <c r="A34" s="49"/>
      <c r="B34" s="49"/>
      <c r="C34" s="49" t="s">
        <v>91</v>
      </c>
      <c r="D34" s="49" t="s">
        <v>92</v>
      </c>
      <c r="E34" s="51">
        <v>0</v>
      </c>
      <c r="F34" s="51">
        <v>-2628</v>
      </c>
      <c r="G34" s="48"/>
      <c r="H34" s="55" t="s">
        <v>221</v>
      </c>
      <c r="I34" s="49"/>
      <c r="J34" s="49"/>
      <c r="K34" s="47"/>
    </row>
    <row r="35" spans="1:11" ht="14" x14ac:dyDescent="0.2">
      <c r="A35" s="49"/>
      <c r="B35" s="50"/>
      <c r="C35" s="49" t="s">
        <v>94</v>
      </c>
      <c r="D35" s="49">
        <v>4029</v>
      </c>
      <c r="E35" s="51">
        <v>0</v>
      </c>
      <c r="F35" s="51">
        <v>-2400</v>
      </c>
      <c r="G35" s="51"/>
      <c r="H35" s="49" t="s">
        <v>222</v>
      </c>
      <c r="I35" s="49"/>
      <c r="J35" s="49"/>
      <c r="K35" s="47"/>
    </row>
    <row r="36" spans="1:11" ht="14" x14ac:dyDescent="0.2">
      <c r="A36" s="49"/>
      <c r="B36" s="50"/>
      <c r="C36" s="49" t="s">
        <v>101</v>
      </c>
      <c r="D36" s="49">
        <v>5010</v>
      </c>
      <c r="E36" s="51">
        <v>0</v>
      </c>
      <c r="F36" s="51">
        <v>-600</v>
      </c>
      <c r="G36" s="51"/>
      <c r="H36" s="49"/>
      <c r="I36" s="49"/>
      <c r="J36" s="49"/>
      <c r="K36" s="47"/>
    </row>
    <row r="37" spans="1:11" ht="14" x14ac:dyDescent="0.2">
      <c r="A37" s="49"/>
      <c r="B37" s="49"/>
      <c r="C37" s="49" t="s">
        <v>96</v>
      </c>
      <c r="D37" s="49">
        <v>5411</v>
      </c>
      <c r="E37" s="51">
        <v>0</v>
      </c>
      <c r="F37" s="51">
        <v>-500</v>
      </c>
      <c r="G37" s="51"/>
      <c r="H37" s="49"/>
      <c r="I37" s="49"/>
      <c r="J37" s="49"/>
      <c r="K37" s="47"/>
    </row>
    <row r="38" spans="1:11" ht="14" x14ac:dyDescent="0.2">
      <c r="A38" s="49"/>
      <c r="B38" s="49"/>
      <c r="C38" s="49" t="s">
        <v>97</v>
      </c>
      <c r="D38" s="49">
        <v>7691</v>
      </c>
      <c r="E38" s="51">
        <v>0</v>
      </c>
      <c r="F38" s="51">
        <v>-200</v>
      </c>
      <c r="G38" s="51"/>
      <c r="H38" s="49"/>
      <c r="I38" s="49"/>
      <c r="J38" s="49"/>
      <c r="K38" s="47"/>
    </row>
    <row r="39" spans="1:11" ht="14" x14ac:dyDescent="0.2">
      <c r="A39" s="49"/>
      <c r="B39" s="49"/>
      <c r="C39" s="49" t="s">
        <v>98</v>
      </c>
      <c r="D39" s="49">
        <v>5463</v>
      </c>
      <c r="E39" s="51">
        <v>0</v>
      </c>
      <c r="F39" s="51">
        <v>-600</v>
      </c>
      <c r="G39" s="51"/>
      <c r="H39" s="49"/>
      <c r="I39" s="49"/>
      <c r="J39" s="49"/>
      <c r="K39" s="47"/>
    </row>
    <row r="40" spans="1:11" ht="14" x14ac:dyDescent="0.2">
      <c r="A40" s="49"/>
      <c r="B40" s="49"/>
      <c r="C40" s="49" t="s">
        <v>99</v>
      </c>
      <c r="D40" s="49">
        <v>4027</v>
      </c>
      <c r="E40" s="51">
        <v>0</v>
      </c>
      <c r="F40" s="51">
        <v>-1500</v>
      </c>
      <c r="G40" s="51"/>
      <c r="H40" s="49"/>
      <c r="I40" s="49"/>
      <c r="J40" s="49"/>
      <c r="K40" s="47"/>
    </row>
    <row r="41" spans="1:11" ht="14" x14ac:dyDescent="0.2">
      <c r="A41" s="49"/>
      <c r="B41" s="49"/>
      <c r="C41" s="49"/>
      <c r="D41" s="49"/>
      <c r="E41" s="51"/>
      <c r="F41" s="51"/>
      <c r="G41" s="51"/>
      <c r="H41" s="49"/>
      <c r="I41" s="49"/>
      <c r="J41" s="49"/>
      <c r="K41" s="47"/>
    </row>
    <row r="42" spans="1:11" ht="14" x14ac:dyDescent="0.2">
      <c r="A42" s="49"/>
      <c r="B42" s="49"/>
      <c r="C42" s="50" t="s">
        <v>80</v>
      </c>
      <c r="D42" s="49"/>
      <c r="E42" s="51">
        <f t="shared" ref="E42:F42" si="3">SUM(E33:E40)</f>
        <v>8895</v>
      </c>
      <c r="F42" s="51">
        <f t="shared" si="3"/>
        <v>-8428</v>
      </c>
      <c r="G42" s="51">
        <f>E42+F42</f>
        <v>467</v>
      </c>
      <c r="H42" s="49"/>
      <c r="I42" s="49"/>
      <c r="J42" s="49"/>
      <c r="K42" s="47"/>
    </row>
    <row r="43" spans="1:11" ht="14" x14ac:dyDescent="0.2">
      <c r="A43" s="49"/>
      <c r="B43" s="49"/>
      <c r="C43" s="49"/>
      <c r="D43" s="49"/>
      <c r="E43" s="51"/>
      <c r="F43" s="51"/>
      <c r="G43" s="51"/>
      <c r="H43" s="49"/>
      <c r="I43" s="49"/>
      <c r="J43" s="49"/>
      <c r="K43" s="47"/>
    </row>
    <row r="44" spans="1:11" ht="14" x14ac:dyDescent="0.2">
      <c r="A44" s="49"/>
      <c r="B44" s="50" t="s">
        <v>223</v>
      </c>
      <c r="C44" s="49"/>
      <c r="D44" s="49"/>
      <c r="E44" s="51"/>
      <c r="F44" s="51"/>
      <c r="G44" s="51"/>
      <c r="H44" s="49"/>
      <c r="I44" s="49"/>
      <c r="J44" s="49"/>
      <c r="K44" s="47"/>
    </row>
    <row r="45" spans="1:11" ht="14" x14ac:dyDescent="0.2">
      <c r="A45" s="49"/>
      <c r="B45" s="49"/>
      <c r="C45" s="49" t="s">
        <v>88</v>
      </c>
      <c r="D45" s="49" t="s">
        <v>89</v>
      </c>
      <c r="E45" s="51">
        <v>8895</v>
      </c>
      <c r="F45" s="51">
        <v>0</v>
      </c>
      <c r="G45" s="48"/>
      <c r="H45" s="49" t="s">
        <v>220</v>
      </c>
      <c r="I45" s="49"/>
      <c r="J45" s="49"/>
      <c r="K45" s="47"/>
    </row>
    <row r="46" spans="1:11" ht="14" x14ac:dyDescent="0.2">
      <c r="A46" s="49"/>
      <c r="B46" s="49"/>
      <c r="C46" s="49" t="s">
        <v>91</v>
      </c>
      <c r="D46" s="49" t="s">
        <v>92</v>
      </c>
      <c r="E46" s="51">
        <v>0</v>
      </c>
      <c r="F46" s="51">
        <v>-2628</v>
      </c>
      <c r="G46" s="48"/>
      <c r="H46" s="55" t="s">
        <v>221</v>
      </c>
      <c r="I46" s="49"/>
      <c r="J46" s="49"/>
      <c r="K46" s="47"/>
    </row>
    <row r="47" spans="1:11" ht="14" x14ac:dyDescent="0.2">
      <c r="A47" s="49"/>
      <c r="B47" s="50"/>
      <c r="C47" s="49" t="s">
        <v>94</v>
      </c>
      <c r="D47" s="49">
        <v>4029</v>
      </c>
      <c r="E47" s="51">
        <v>0</v>
      </c>
      <c r="F47" s="51">
        <v>-3570</v>
      </c>
      <c r="G47" s="51"/>
      <c r="H47" s="49" t="s">
        <v>222</v>
      </c>
      <c r="I47" s="49"/>
      <c r="J47" s="49"/>
      <c r="K47" s="47"/>
    </row>
    <row r="48" spans="1:11" ht="14" x14ac:dyDescent="0.2">
      <c r="A48" s="49"/>
      <c r="B48" s="50"/>
      <c r="C48" s="49" t="s">
        <v>101</v>
      </c>
      <c r="D48" s="49">
        <v>5010</v>
      </c>
      <c r="E48" s="51">
        <v>0</v>
      </c>
      <c r="F48" s="51">
        <v>0</v>
      </c>
      <c r="G48" s="51"/>
      <c r="H48" s="49"/>
      <c r="I48" s="49"/>
      <c r="J48" s="49"/>
      <c r="K48" s="47"/>
    </row>
    <row r="49" spans="1:11" ht="14" x14ac:dyDescent="0.2">
      <c r="A49" s="49"/>
      <c r="B49" s="49"/>
      <c r="C49" s="49" t="s">
        <v>96</v>
      </c>
      <c r="D49" s="49">
        <v>5411</v>
      </c>
      <c r="E49" s="51">
        <v>0</v>
      </c>
      <c r="F49" s="51">
        <v>-609</v>
      </c>
      <c r="G49" s="51"/>
      <c r="H49" s="49"/>
      <c r="I49" s="49"/>
      <c r="J49" s="49"/>
      <c r="K49" s="47"/>
    </row>
    <row r="50" spans="1:11" ht="14" x14ac:dyDescent="0.2">
      <c r="A50" s="49"/>
      <c r="B50" s="49"/>
      <c r="C50" s="49" t="s">
        <v>97</v>
      </c>
      <c r="D50" s="49">
        <v>7691</v>
      </c>
      <c r="E50" s="51">
        <v>0</v>
      </c>
      <c r="F50" s="51">
        <v>-96</v>
      </c>
      <c r="G50" s="51"/>
      <c r="H50" s="49"/>
      <c r="I50" s="49"/>
      <c r="J50" s="49"/>
      <c r="K50" s="47"/>
    </row>
    <row r="51" spans="1:11" ht="14" x14ac:dyDescent="0.2">
      <c r="A51" s="49"/>
      <c r="B51" s="49"/>
      <c r="C51" s="49" t="s">
        <v>98</v>
      </c>
      <c r="D51" s="49">
        <v>5463</v>
      </c>
      <c r="E51" s="51">
        <v>0</v>
      </c>
      <c r="F51" s="51">
        <v>0</v>
      </c>
      <c r="G51" s="51"/>
      <c r="H51" s="49"/>
      <c r="I51" s="49"/>
      <c r="J51" s="49"/>
      <c r="K51" s="47"/>
    </row>
    <row r="52" spans="1:11" ht="14" x14ac:dyDescent="0.2">
      <c r="A52" s="49"/>
      <c r="B52" s="49"/>
      <c r="C52" s="49" t="s">
        <v>99</v>
      </c>
      <c r="D52" s="49">
        <v>4027</v>
      </c>
      <c r="E52" s="51">
        <v>0</v>
      </c>
      <c r="F52" s="51">
        <v>-1525</v>
      </c>
      <c r="G52" s="51"/>
      <c r="H52" s="49"/>
      <c r="I52" s="49"/>
      <c r="J52" s="49"/>
      <c r="K52" s="47"/>
    </row>
    <row r="53" spans="1:11" ht="14" x14ac:dyDescent="0.2">
      <c r="A53" s="49"/>
      <c r="B53" s="49"/>
      <c r="C53" s="49"/>
      <c r="D53" s="49"/>
      <c r="E53" s="51"/>
      <c r="F53" s="51"/>
      <c r="G53" s="51"/>
      <c r="H53" s="49"/>
      <c r="I53" s="49"/>
      <c r="J53" s="49"/>
      <c r="K53" s="47"/>
    </row>
    <row r="54" spans="1:11" ht="14" x14ac:dyDescent="0.2">
      <c r="A54" s="47"/>
      <c r="B54" s="49"/>
      <c r="C54" s="50" t="s">
        <v>80</v>
      </c>
      <c r="D54" s="49"/>
      <c r="E54" s="51">
        <f t="shared" ref="E54:F54" si="4">SUM(E45:E52)</f>
        <v>8895</v>
      </c>
      <c r="F54" s="51">
        <f t="shared" si="4"/>
        <v>-8428</v>
      </c>
      <c r="G54" s="51">
        <f>E54+F54</f>
        <v>467</v>
      </c>
      <c r="H54" s="49"/>
      <c r="I54" s="47"/>
      <c r="J54" s="47"/>
      <c r="K54" s="47"/>
    </row>
    <row r="55" spans="1:11" ht="15.75" customHeight="1" x14ac:dyDescent="0.15">
      <c r="A55" s="47"/>
      <c r="B55" s="47"/>
      <c r="C55" s="47"/>
      <c r="D55" s="47"/>
      <c r="E55" s="48"/>
      <c r="F55" s="48"/>
      <c r="G55" s="48"/>
      <c r="H55" s="47"/>
      <c r="I55" s="47"/>
      <c r="J55" s="47"/>
      <c r="K55" s="47"/>
    </row>
    <row r="56" spans="1:11" ht="14" x14ac:dyDescent="0.2">
      <c r="A56" s="47"/>
      <c r="B56" s="50" t="s">
        <v>224</v>
      </c>
      <c r="C56" s="49"/>
      <c r="D56" s="49"/>
      <c r="E56" s="51"/>
      <c r="F56" s="51"/>
      <c r="G56" s="51"/>
      <c r="H56" s="49"/>
      <c r="I56" s="47"/>
      <c r="J56" s="47"/>
      <c r="K56" s="47"/>
    </row>
    <row r="57" spans="1:11" ht="14" x14ac:dyDescent="0.2">
      <c r="A57" s="47"/>
      <c r="B57" s="49"/>
      <c r="C57" s="49" t="s">
        <v>88</v>
      </c>
      <c r="D57" s="49" t="s">
        <v>89</v>
      </c>
      <c r="E57" s="51">
        <v>10095</v>
      </c>
      <c r="F57" s="51">
        <v>0</v>
      </c>
      <c r="G57" s="51"/>
      <c r="H57" s="49" t="s">
        <v>225</v>
      </c>
      <c r="I57" s="47"/>
      <c r="J57" s="47"/>
      <c r="K57" s="47"/>
    </row>
    <row r="58" spans="1:11" ht="14" x14ac:dyDescent="0.2">
      <c r="A58" s="47"/>
      <c r="B58" s="49"/>
      <c r="C58" s="49" t="s">
        <v>91</v>
      </c>
      <c r="D58" s="49" t="s">
        <v>92</v>
      </c>
      <c r="E58" s="51">
        <v>0</v>
      </c>
      <c r="F58" s="51">
        <v>-2628</v>
      </c>
      <c r="G58" s="51"/>
      <c r="H58" s="55" t="s">
        <v>221</v>
      </c>
      <c r="I58" s="47"/>
      <c r="J58" s="47"/>
      <c r="K58" s="47"/>
    </row>
    <row r="59" spans="1:11" ht="14" x14ac:dyDescent="0.2">
      <c r="A59" s="47"/>
      <c r="B59" s="50"/>
      <c r="C59" s="49" t="s">
        <v>94</v>
      </c>
      <c r="D59" s="49">
        <v>4029</v>
      </c>
      <c r="E59" s="51">
        <v>0</v>
      </c>
      <c r="F59" s="51">
        <v>-3600</v>
      </c>
      <c r="G59" s="51"/>
      <c r="H59" s="49" t="s">
        <v>226</v>
      </c>
      <c r="I59" s="47"/>
      <c r="J59" s="47"/>
      <c r="K59" s="47"/>
    </row>
    <row r="60" spans="1:11" ht="14" x14ac:dyDescent="0.2">
      <c r="A60" s="47"/>
      <c r="B60" s="50"/>
      <c r="C60" s="49" t="s">
        <v>101</v>
      </c>
      <c r="D60" s="49">
        <v>5010</v>
      </c>
      <c r="E60" s="51">
        <v>0</v>
      </c>
      <c r="F60" s="51">
        <v>-600</v>
      </c>
      <c r="G60" s="51"/>
      <c r="H60" s="49"/>
      <c r="I60" s="47"/>
      <c r="J60" s="47"/>
      <c r="K60" s="47"/>
    </row>
    <row r="61" spans="1:11" ht="14" x14ac:dyDescent="0.2">
      <c r="A61" s="47"/>
      <c r="B61" s="49"/>
      <c r="C61" s="49" t="s">
        <v>96</v>
      </c>
      <c r="D61" s="49">
        <v>5411</v>
      </c>
      <c r="E61" s="51">
        <v>0</v>
      </c>
      <c r="F61" s="51">
        <v>-500</v>
      </c>
      <c r="G61" s="51"/>
      <c r="H61" s="49"/>
      <c r="I61" s="47"/>
      <c r="J61" s="47"/>
      <c r="K61" s="47"/>
    </row>
    <row r="62" spans="1:11" ht="14" x14ac:dyDescent="0.2">
      <c r="A62" s="47"/>
      <c r="B62" s="49"/>
      <c r="C62" s="49" t="s">
        <v>97</v>
      </c>
      <c r="D62" s="49">
        <v>7691</v>
      </c>
      <c r="E62" s="51">
        <v>0</v>
      </c>
      <c r="F62" s="51">
        <v>-200</v>
      </c>
      <c r="G62" s="51"/>
      <c r="H62" s="49"/>
      <c r="I62" s="47"/>
      <c r="J62" s="47"/>
      <c r="K62" s="47"/>
    </row>
    <row r="63" spans="1:11" ht="14" x14ac:dyDescent="0.2">
      <c r="A63" s="47"/>
      <c r="B63" s="49"/>
      <c r="C63" s="49" t="s">
        <v>98</v>
      </c>
      <c r="D63" s="49">
        <v>5463</v>
      </c>
      <c r="E63" s="51">
        <v>0</v>
      </c>
      <c r="F63" s="51">
        <v>-600</v>
      </c>
      <c r="G63" s="51"/>
      <c r="H63" s="49"/>
      <c r="I63" s="47"/>
      <c r="J63" s="47"/>
      <c r="K63" s="47"/>
    </row>
    <row r="64" spans="1:11" ht="14" x14ac:dyDescent="0.2">
      <c r="A64" s="47"/>
      <c r="B64" s="49"/>
      <c r="C64" s="49" t="s">
        <v>99</v>
      </c>
      <c r="D64" s="49">
        <v>4027</v>
      </c>
      <c r="E64" s="51">
        <v>0</v>
      </c>
      <c r="F64" s="51">
        <v>-1500</v>
      </c>
      <c r="G64" s="51"/>
      <c r="H64" s="49"/>
      <c r="I64" s="47"/>
      <c r="J64" s="47"/>
      <c r="K64" s="47"/>
    </row>
    <row r="65" spans="1:11" ht="14" x14ac:dyDescent="0.2">
      <c r="A65" s="47"/>
      <c r="B65" s="49"/>
      <c r="C65" s="49"/>
      <c r="D65" s="49"/>
      <c r="E65" s="51"/>
      <c r="F65" s="51"/>
      <c r="G65" s="51"/>
      <c r="H65" s="49"/>
      <c r="I65" s="47"/>
      <c r="J65" s="47"/>
      <c r="K65" s="47"/>
    </row>
    <row r="66" spans="1:11" ht="14" x14ac:dyDescent="0.2">
      <c r="A66" s="47"/>
      <c r="B66" s="49"/>
      <c r="C66" s="50" t="s">
        <v>80</v>
      </c>
      <c r="D66" s="49"/>
      <c r="E66" s="51">
        <f t="shared" ref="E66:F66" si="5">SUM(E57:E64)</f>
        <v>10095</v>
      </c>
      <c r="F66" s="51">
        <f t="shared" si="5"/>
        <v>-9628</v>
      </c>
      <c r="G66" s="51">
        <f>E66+F66</f>
        <v>467</v>
      </c>
      <c r="H66" s="49"/>
      <c r="I66" s="47"/>
      <c r="J66" s="47"/>
      <c r="K66" s="47"/>
    </row>
    <row r="67" spans="1:11" ht="14" x14ac:dyDescent="0.2">
      <c r="A67" s="47"/>
      <c r="B67" s="49"/>
      <c r="C67" s="49"/>
      <c r="D67" s="49"/>
      <c r="E67" s="51"/>
      <c r="F67" s="51"/>
      <c r="G67" s="51"/>
      <c r="H67" s="49"/>
      <c r="I67" s="47"/>
      <c r="J67" s="47"/>
      <c r="K67" s="47"/>
    </row>
    <row r="68" spans="1:11" ht="14" x14ac:dyDescent="0.2">
      <c r="A68" s="47"/>
      <c r="B68" s="25" t="s">
        <v>227</v>
      </c>
      <c r="C68" s="56"/>
      <c r="D68" s="56"/>
      <c r="E68" s="57"/>
      <c r="F68" s="58"/>
      <c r="G68" s="57"/>
      <c r="H68" s="56"/>
      <c r="I68" s="47"/>
      <c r="J68" s="47"/>
      <c r="K68" s="47"/>
    </row>
    <row r="69" spans="1:11" ht="14" x14ac:dyDescent="0.2">
      <c r="A69" s="47"/>
      <c r="B69" s="56"/>
      <c r="C69" s="1" t="s">
        <v>88</v>
      </c>
      <c r="D69" s="1" t="s">
        <v>89</v>
      </c>
      <c r="E69" s="59">
        <v>7000</v>
      </c>
      <c r="F69" s="60">
        <v>0</v>
      </c>
      <c r="G69" s="57"/>
      <c r="H69" s="1" t="s">
        <v>228</v>
      </c>
      <c r="I69" s="47"/>
      <c r="J69" s="47"/>
      <c r="K69" s="47"/>
    </row>
    <row r="70" spans="1:11" ht="14" x14ac:dyDescent="0.2">
      <c r="A70" s="47"/>
      <c r="B70" s="56"/>
      <c r="C70" s="1" t="s">
        <v>96</v>
      </c>
      <c r="D70" s="61">
        <v>5411</v>
      </c>
      <c r="E70" s="62">
        <v>0</v>
      </c>
      <c r="F70" s="63">
        <v>-200</v>
      </c>
      <c r="G70" s="57"/>
      <c r="H70" s="56"/>
      <c r="I70" s="47"/>
      <c r="J70" s="47"/>
      <c r="K70" s="47"/>
    </row>
    <row r="71" spans="1:11" ht="14" x14ac:dyDescent="0.2">
      <c r="A71" s="47"/>
      <c r="B71" s="56"/>
      <c r="C71" s="1" t="s">
        <v>172</v>
      </c>
      <c r="D71" s="61">
        <v>4029</v>
      </c>
      <c r="E71" s="62">
        <v>0</v>
      </c>
      <c r="F71" s="63">
        <v>-2500</v>
      </c>
      <c r="G71" s="57"/>
      <c r="H71" s="1" t="s">
        <v>229</v>
      </c>
      <c r="I71" s="47"/>
      <c r="J71" s="47"/>
      <c r="K71" s="47"/>
    </row>
    <row r="72" spans="1:11" ht="14" x14ac:dyDescent="0.2">
      <c r="A72" s="47"/>
      <c r="B72" s="56"/>
      <c r="C72" s="1" t="s">
        <v>91</v>
      </c>
      <c r="D72" s="1" t="s">
        <v>92</v>
      </c>
      <c r="E72" s="62">
        <v>0</v>
      </c>
      <c r="F72" s="64">
        <v>-2300</v>
      </c>
      <c r="G72" s="57"/>
      <c r="H72" s="1" t="s">
        <v>230</v>
      </c>
      <c r="I72" s="47"/>
      <c r="J72" s="47"/>
      <c r="K72" s="47"/>
    </row>
    <row r="73" spans="1:11" ht="14" x14ac:dyDescent="0.2">
      <c r="A73" s="47"/>
      <c r="B73" s="56"/>
      <c r="C73" s="1" t="s">
        <v>101</v>
      </c>
      <c r="D73" s="61">
        <v>5010</v>
      </c>
      <c r="E73" s="62">
        <v>0</v>
      </c>
      <c r="F73" s="64">
        <v>-300</v>
      </c>
      <c r="G73" s="57"/>
      <c r="H73" s="1" t="s">
        <v>231</v>
      </c>
      <c r="I73" s="47"/>
      <c r="J73" s="47"/>
      <c r="K73" s="47"/>
    </row>
    <row r="74" spans="1:11" ht="14" x14ac:dyDescent="0.2">
      <c r="A74" s="47"/>
      <c r="B74" s="56"/>
      <c r="C74" s="1" t="s">
        <v>99</v>
      </c>
      <c r="D74" s="61">
        <v>4027</v>
      </c>
      <c r="E74" s="62">
        <v>0</v>
      </c>
      <c r="F74" s="64">
        <v>-1700</v>
      </c>
      <c r="G74" s="57"/>
      <c r="H74" s="1" t="s">
        <v>232</v>
      </c>
      <c r="I74" s="47"/>
      <c r="J74" s="47"/>
      <c r="K74" s="47"/>
    </row>
    <row r="75" spans="1:11" ht="13" x14ac:dyDescent="0.15">
      <c r="A75" s="47"/>
      <c r="B75" s="56"/>
      <c r="C75" s="56"/>
      <c r="D75" s="56"/>
      <c r="E75" s="57"/>
      <c r="F75" s="58"/>
      <c r="G75" s="57"/>
      <c r="H75" s="56"/>
      <c r="I75" s="47"/>
      <c r="J75" s="47"/>
      <c r="K75" s="47"/>
    </row>
    <row r="76" spans="1:11" ht="14" x14ac:dyDescent="0.2">
      <c r="A76" s="47"/>
      <c r="B76" s="56"/>
      <c r="C76" s="25" t="s">
        <v>80</v>
      </c>
      <c r="D76" s="56"/>
      <c r="E76" s="59">
        <f t="shared" ref="E76:F76" si="6">SUM(E69:E74)</f>
        <v>7000</v>
      </c>
      <c r="F76" s="63">
        <f t="shared" si="6"/>
        <v>-7000</v>
      </c>
      <c r="G76" s="62">
        <f>E76+F76</f>
        <v>0</v>
      </c>
      <c r="H76" s="56"/>
      <c r="I76" s="47"/>
      <c r="J76" s="47"/>
      <c r="K76" s="47"/>
    </row>
    <row r="77" spans="1:11" ht="14" x14ac:dyDescent="0.2">
      <c r="A77" s="47"/>
      <c r="B77" s="49"/>
      <c r="C77" s="49"/>
      <c r="D77" s="49"/>
      <c r="E77" s="55"/>
      <c r="F77" s="65"/>
      <c r="G77" s="55"/>
      <c r="H77" s="49"/>
      <c r="I77" s="47"/>
      <c r="J77" s="47"/>
      <c r="K77" s="47"/>
    </row>
    <row r="78" spans="1:11" ht="14" x14ac:dyDescent="0.2">
      <c r="A78" s="47"/>
      <c r="B78" s="25" t="s">
        <v>233</v>
      </c>
      <c r="C78" s="56"/>
      <c r="D78" s="56"/>
      <c r="E78" s="57"/>
      <c r="F78" s="58"/>
      <c r="G78" s="57"/>
      <c r="H78" s="56"/>
      <c r="I78" s="47"/>
      <c r="J78" s="47"/>
      <c r="K78" s="47"/>
    </row>
    <row r="79" spans="1:11" ht="14" x14ac:dyDescent="0.2">
      <c r="A79" s="47"/>
      <c r="B79" s="56"/>
      <c r="C79" s="1" t="s">
        <v>88</v>
      </c>
      <c r="D79" s="1" t="s">
        <v>89</v>
      </c>
      <c r="E79" s="59">
        <v>8800</v>
      </c>
      <c r="F79" s="60">
        <v>0</v>
      </c>
      <c r="G79" s="57"/>
      <c r="H79" s="1" t="s">
        <v>234</v>
      </c>
      <c r="I79" s="47"/>
      <c r="J79" s="47"/>
      <c r="K79" s="47"/>
    </row>
    <row r="80" spans="1:11" ht="14" x14ac:dyDescent="0.2">
      <c r="A80" s="47"/>
      <c r="B80" s="56"/>
      <c r="C80" s="1" t="s">
        <v>96</v>
      </c>
      <c r="D80" s="61">
        <v>5411</v>
      </c>
      <c r="E80" s="62">
        <v>0</v>
      </c>
      <c r="F80" s="63">
        <v>0</v>
      </c>
      <c r="G80" s="57"/>
      <c r="H80" s="1" t="s">
        <v>235</v>
      </c>
      <c r="I80" s="47"/>
      <c r="J80" s="47"/>
      <c r="K80" s="47"/>
    </row>
    <row r="81" spans="1:11" ht="14" x14ac:dyDescent="0.2">
      <c r="A81" s="47"/>
      <c r="B81" s="56"/>
      <c r="C81" s="1" t="s">
        <v>172</v>
      </c>
      <c r="D81" s="61">
        <v>4029</v>
      </c>
      <c r="E81" s="62">
        <v>0</v>
      </c>
      <c r="F81" s="63">
        <v>-4000</v>
      </c>
      <c r="G81" s="57"/>
      <c r="H81" s="1" t="s">
        <v>236</v>
      </c>
      <c r="I81" s="47"/>
      <c r="J81" s="47"/>
      <c r="K81" s="47"/>
    </row>
    <row r="82" spans="1:11" ht="14" x14ac:dyDescent="0.2">
      <c r="A82" s="47"/>
      <c r="B82" s="56"/>
      <c r="C82" s="1" t="s">
        <v>91</v>
      </c>
      <c r="D82" s="1" t="s">
        <v>92</v>
      </c>
      <c r="E82" s="62">
        <v>0</v>
      </c>
      <c r="F82" s="64">
        <v>-2800</v>
      </c>
      <c r="G82" s="57"/>
      <c r="H82" s="1" t="s">
        <v>229</v>
      </c>
      <c r="I82" s="47"/>
      <c r="J82" s="47"/>
      <c r="K82" s="47"/>
    </row>
    <row r="83" spans="1:11" ht="14" x14ac:dyDescent="0.2">
      <c r="A83" s="47"/>
      <c r="B83" s="56"/>
      <c r="C83" s="1" t="s">
        <v>101</v>
      </c>
      <c r="D83" s="61">
        <v>5010</v>
      </c>
      <c r="E83" s="62">
        <v>0</v>
      </c>
      <c r="F83" s="64">
        <v>-300</v>
      </c>
      <c r="G83" s="57"/>
      <c r="H83" s="1" t="s">
        <v>231</v>
      </c>
      <c r="I83" s="47"/>
      <c r="J83" s="47"/>
      <c r="K83" s="47"/>
    </row>
    <row r="84" spans="1:11" ht="14" x14ac:dyDescent="0.2">
      <c r="A84" s="47"/>
      <c r="B84" s="56"/>
      <c r="C84" s="1" t="s">
        <v>99</v>
      </c>
      <c r="D84" s="61">
        <v>4027</v>
      </c>
      <c r="E84" s="62">
        <v>0</v>
      </c>
      <c r="F84" s="64">
        <v>-1700</v>
      </c>
      <c r="G84" s="57"/>
      <c r="H84" s="1" t="s">
        <v>232</v>
      </c>
      <c r="I84" s="47"/>
      <c r="J84" s="47"/>
      <c r="K84" s="47"/>
    </row>
    <row r="85" spans="1:11" ht="13" x14ac:dyDescent="0.15">
      <c r="A85" s="47"/>
      <c r="B85" s="56"/>
      <c r="C85" s="56"/>
      <c r="D85" s="56"/>
      <c r="E85" s="57"/>
      <c r="F85" s="58"/>
      <c r="G85" s="57"/>
      <c r="H85" s="56"/>
      <c r="I85" s="47"/>
      <c r="J85" s="47"/>
      <c r="K85" s="47"/>
    </row>
    <row r="86" spans="1:11" ht="14" x14ac:dyDescent="0.2">
      <c r="A86" s="47"/>
      <c r="B86" s="56"/>
      <c r="C86" s="25" t="s">
        <v>80</v>
      </c>
      <c r="D86" s="56"/>
      <c r="E86" s="59">
        <f t="shared" ref="E86:F86" si="7">SUM(E79:E84)</f>
        <v>8800</v>
      </c>
      <c r="F86" s="63">
        <f t="shared" si="7"/>
        <v>-8800</v>
      </c>
      <c r="G86" s="62">
        <f>E86+F86</f>
        <v>0</v>
      </c>
      <c r="H86" s="56"/>
      <c r="I86" s="47"/>
      <c r="J86" s="47"/>
      <c r="K86" s="47"/>
    </row>
    <row r="87" spans="1:11" ht="14" x14ac:dyDescent="0.2">
      <c r="A87" s="47"/>
      <c r="B87" s="49"/>
      <c r="C87" s="49"/>
      <c r="D87" s="49"/>
      <c r="E87" s="55"/>
      <c r="F87" s="65"/>
      <c r="G87" s="55"/>
      <c r="H87" s="56"/>
      <c r="I87" s="47"/>
      <c r="J87" s="47"/>
      <c r="K87" s="47"/>
    </row>
    <row r="88" spans="1:11" ht="14" x14ac:dyDescent="0.2">
      <c r="A88" s="47"/>
      <c r="B88" s="25" t="s">
        <v>237</v>
      </c>
      <c r="C88" s="56"/>
      <c r="D88" s="56"/>
      <c r="E88" s="57"/>
      <c r="F88" s="58"/>
      <c r="G88" s="57"/>
      <c r="H88" s="56"/>
      <c r="I88" s="47"/>
      <c r="J88" s="47"/>
      <c r="K88" s="47"/>
    </row>
    <row r="89" spans="1:11" ht="14" x14ac:dyDescent="0.2">
      <c r="A89" s="47"/>
      <c r="B89" s="56"/>
      <c r="C89" s="1" t="s">
        <v>238</v>
      </c>
      <c r="D89" s="1"/>
      <c r="E89" s="59">
        <v>7800</v>
      </c>
      <c r="F89" s="60">
        <v>0</v>
      </c>
      <c r="G89" s="57"/>
      <c r="H89" s="56"/>
      <c r="I89" s="47"/>
      <c r="J89" s="47"/>
      <c r="K89" s="47"/>
    </row>
    <row r="90" spans="1:11" ht="14" x14ac:dyDescent="0.2">
      <c r="A90" s="47"/>
      <c r="B90" s="56"/>
      <c r="C90" s="1" t="s">
        <v>239</v>
      </c>
      <c r="D90" s="61"/>
      <c r="E90" s="62">
        <v>3500</v>
      </c>
      <c r="F90" s="60">
        <v>0</v>
      </c>
      <c r="G90" s="57"/>
      <c r="H90" s="56"/>
      <c r="I90" s="47"/>
      <c r="J90" s="47"/>
      <c r="K90" s="47"/>
    </row>
    <row r="91" spans="1:11" ht="14" x14ac:dyDescent="0.2">
      <c r="A91" s="47"/>
      <c r="B91" s="56"/>
      <c r="C91" s="1" t="s">
        <v>240</v>
      </c>
      <c r="D91" s="61"/>
      <c r="E91" s="62">
        <v>0</v>
      </c>
      <c r="F91" s="63">
        <v>-2800</v>
      </c>
      <c r="G91" s="57"/>
      <c r="H91" s="56"/>
      <c r="I91" s="47"/>
      <c r="J91" s="47"/>
      <c r="K91" s="47"/>
    </row>
    <row r="92" spans="1:11" ht="14" x14ac:dyDescent="0.2">
      <c r="A92" s="47"/>
      <c r="B92" s="56"/>
      <c r="C92" s="1" t="s">
        <v>241</v>
      </c>
      <c r="D92" s="61"/>
      <c r="E92" s="62">
        <v>0</v>
      </c>
      <c r="F92" s="64">
        <v>-2300</v>
      </c>
      <c r="G92" s="57"/>
      <c r="H92" s="56"/>
      <c r="I92" s="47"/>
      <c r="J92" s="47"/>
      <c r="K92" s="47"/>
    </row>
    <row r="93" spans="1:11" ht="14" x14ac:dyDescent="0.2">
      <c r="A93" s="47"/>
      <c r="B93" s="56"/>
      <c r="C93" s="1" t="s">
        <v>242</v>
      </c>
      <c r="D93" s="61"/>
      <c r="E93" s="62">
        <v>0</v>
      </c>
      <c r="F93" s="64">
        <v>-2400</v>
      </c>
      <c r="G93" s="57"/>
      <c r="H93" s="56"/>
      <c r="I93" s="47"/>
      <c r="J93" s="47"/>
      <c r="K93" s="47"/>
    </row>
    <row r="94" spans="1:11" ht="14" x14ac:dyDescent="0.2">
      <c r="A94" s="47"/>
      <c r="B94" s="56"/>
      <c r="C94" s="1" t="s">
        <v>243</v>
      </c>
      <c r="D94" s="1"/>
      <c r="E94" s="62">
        <v>0</v>
      </c>
      <c r="F94" s="64">
        <v>-1000</v>
      </c>
      <c r="G94" s="57"/>
      <c r="H94" s="56"/>
      <c r="I94" s="47"/>
      <c r="J94" s="47"/>
      <c r="K94" s="47"/>
    </row>
    <row r="95" spans="1:11" ht="14" x14ac:dyDescent="0.2">
      <c r="A95" s="47"/>
      <c r="B95" s="56"/>
      <c r="C95" s="1" t="s">
        <v>99</v>
      </c>
      <c r="D95" s="61"/>
      <c r="E95" s="62">
        <v>0</v>
      </c>
      <c r="F95" s="64">
        <v>-1500</v>
      </c>
      <c r="G95" s="57"/>
      <c r="H95" s="56"/>
      <c r="I95" s="47"/>
      <c r="J95" s="47"/>
      <c r="K95" s="47"/>
    </row>
    <row r="96" spans="1:11" ht="14" x14ac:dyDescent="0.2">
      <c r="A96" s="47"/>
      <c r="B96" s="56"/>
      <c r="C96" s="1" t="s">
        <v>101</v>
      </c>
      <c r="D96" s="61"/>
      <c r="E96" s="62">
        <v>0</v>
      </c>
      <c r="F96" s="64">
        <v>-300</v>
      </c>
      <c r="G96" s="57"/>
      <c r="H96" s="56"/>
      <c r="I96" s="47"/>
      <c r="J96" s="47"/>
      <c r="K96" s="47"/>
    </row>
    <row r="97" spans="1:11" ht="14" x14ac:dyDescent="0.2">
      <c r="A97" s="47"/>
      <c r="B97" s="56"/>
      <c r="C97" s="1" t="s">
        <v>96</v>
      </c>
      <c r="D97" s="61"/>
      <c r="E97" s="62">
        <v>0</v>
      </c>
      <c r="F97" s="64">
        <v>-200</v>
      </c>
      <c r="G97" s="57"/>
      <c r="H97" s="56"/>
      <c r="I97" s="47"/>
      <c r="J97" s="47"/>
      <c r="K97" s="47"/>
    </row>
    <row r="98" spans="1:11" ht="14" x14ac:dyDescent="0.2">
      <c r="A98" s="47"/>
      <c r="B98" s="56"/>
      <c r="C98" s="1" t="s">
        <v>244</v>
      </c>
      <c r="D98" s="61"/>
      <c r="E98" s="62">
        <v>0</v>
      </c>
      <c r="F98" s="64">
        <v>-1750</v>
      </c>
      <c r="G98" s="57"/>
      <c r="H98" s="56"/>
      <c r="I98" s="47"/>
      <c r="J98" s="47"/>
      <c r="K98" s="47"/>
    </row>
    <row r="99" spans="1:11" ht="14" x14ac:dyDescent="0.2">
      <c r="A99" s="47"/>
      <c r="B99" s="56"/>
      <c r="C99" s="1" t="s">
        <v>245</v>
      </c>
      <c r="D99" s="61"/>
      <c r="E99" s="64">
        <v>1750</v>
      </c>
      <c r="F99" s="64">
        <v>0</v>
      </c>
      <c r="G99" s="57"/>
      <c r="H99" s="56"/>
      <c r="I99" s="47"/>
      <c r="J99" s="47"/>
      <c r="K99" s="47"/>
    </row>
    <row r="100" spans="1:11" ht="13" x14ac:dyDescent="0.15">
      <c r="A100" s="47"/>
      <c r="B100" s="56"/>
      <c r="C100" s="56"/>
      <c r="D100" s="56"/>
      <c r="E100" s="57"/>
      <c r="F100" s="58"/>
      <c r="G100" s="57"/>
      <c r="H100" s="56"/>
      <c r="I100" s="47"/>
      <c r="J100" s="47"/>
      <c r="K100" s="47"/>
    </row>
    <row r="101" spans="1:11" ht="14" x14ac:dyDescent="0.2">
      <c r="A101" s="47"/>
      <c r="B101" s="56"/>
      <c r="C101" s="25" t="s">
        <v>80</v>
      </c>
      <c r="D101" s="56"/>
      <c r="E101" s="59">
        <f t="shared" ref="E101:F101" si="8">SUM(E89:E99)</f>
        <v>13050</v>
      </c>
      <c r="F101" s="59">
        <f t="shared" si="8"/>
        <v>-12250</v>
      </c>
      <c r="G101" s="62">
        <f>E101+F101</f>
        <v>800</v>
      </c>
      <c r="H101" s="49"/>
      <c r="I101" s="47"/>
      <c r="J101" s="47"/>
      <c r="K101" s="47"/>
    </row>
    <row r="102" spans="1:11" ht="14" x14ac:dyDescent="0.2">
      <c r="A102" s="56"/>
      <c r="B102" s="25" t="s">
        <v>246</v>
      </c>
      <c r="C102" s="56"/>
      <c r="D102" s="56"/>
      <c r="E102" s="57"/>
      <c r="F102" s="58"/>
      <c r="G102" s="57"/>
      <c r="H102" s="56"/>
      <c r="I102" s="56"/>
      <c r="J102" s="56"/>
      <c r="K102" s="56"/>
    </row>
    <row r="103" spans="1:11" ht="14" x14ac:dyDescent="0.2">
      <c r="A103" s="56"/>
      <c r="B103" s="56"/>
      <c r="C103" s="1" t="s">
        <v>88</v>
      </c>
      <c r="D103" s="56"/>
      <c r="E103" s="59">
        <v>9000</v>
      </c>
      <c r="F103" s="60">
        <v>0</v>
      </c>
      <c r="G103" s="57"/>
      <c r="H103" s="56"/>
      <c r="I103" s="56"/>
      <c r="J103" s="56"/>
      <c r="K103" s="56"/>
    </row>
    <row r="104" spans="1:11" ht="14" x14ac:dyDescent="0.2">
      <c r="A104" s="56"/>
      <c r="B104" s="56"/>
      <c r="C104" s="1" t="s">
        <v>241</v>
      </c>
      <c r="D104" s="56"/>
      <c r="E104" s="62">
        <v>0</v>
      </c>
      <c r="F104" s="60">
        <v>-2800</v>
      </c>
      <c r="G104" s="57"/>
      <c r="H104" s="56"/>
      <c r="I104" s="56"/>
      <c r="J104" s="56"/>
      <c r="K104" s="56"/>
    </row>
    <row r="105" spans="1:11" ht="14" x14ac:dyDescent="0.2">
      <c r="A105" s="56"/>
      <c r="B105" s="56"/>
      <c r="C105" s="1" t="s">
        <v>172</v>
      </c>
      <c r="D105" s="56"/>
      <c r="E105" s="62">
        <v>0</v>
      </c>
      <c r="F105" s="63">
        <v>-2500</v>
      </c>
      <c r="G105" s="57"/>
      <c r="H105" s="56"/>
      <c r="I105" s="56"/>
      <c r="J105" s="56"/>
      <c r="K105" s="56"/>
    </row>
    <row r="106" spans="1:11" ht="14" x14ac:dyDescent="0.2">
      <c r="A106" s="56"/>
      <c r="B106" s="56"/>
      <c r="C106" s="1" t="s">
        <v>101</v>
      </c>
      <c r="D106" s="56"/>
      <c r="E106" s="62">
        <v>0</v>
      </c>
      <c r="F106" s="64">
        <v>-600</v>
      </c>
      <c r="G106" s="57"/>
      <c r="H106" s="56"/>
      <c r="I106" s="56"/>
      <c r="J106" s="56"/>
      <c r="K106" s="56"/>
    </row>
    <row r="107" spans="1:11" ht="14" x14ac:dyDescent="0.2">
      <c r="A107" s="56"/>
      <c r="B107" s="56"/>
      <c r="C107" s="1" t="s">
        <v>96</v>
      </c>
      <c r="D107" s="56"/>
      <c r="E107" s="62">
        <v>0</v>
      </c>
      <c r="F107" s="64">
        <v>-500</v>
      </c>
      <c r="G107" s="57"/>
      <c r="H107" s="56"/>
      <c r="I107" s="56"/>
      <c r="J107" s="56"/>
      <c r="K107" s="56"/>
    </row>
    <row r="108" spans="1:11" ht="14" x14ac:dyDescent="0.2">
      <c r="A108" s="56"/>
      <c r="B108" s="56"/>
      <c r="C108" s="1" t="s">
        <v>98</v>
      </c>
      <c r="D108" s="56"/>
      <c r="E108" s="62">
        <v>0</v>
      </c>
      <c r="F108" s="64">
        <v>-600</v>
      </c>
      <c r="G108" s="57"/>
      <c r="H108" s="56"/>
      <c r="I108" s="56"/>
      <c r="J108" s="56"/>
      <c r="K108" s="56"/>
    </row>
    <row r="109" spans="1:11" ht="14" x14ac:dyDescent="0.2">
      <c r="A109" s="56"/>
      <c r="B109" s="56"/>
      <c r="C109" s="1" t="s">
        <v>99</v>
      </c>
      <c r="D109" s="56"/>
      <c r="E109" s="62">
        <v>0</v>
      </c>
      <c r="F109" s="64">
        <v>-1550</v>
      </c>
      <c r="G109" s="57"/>
      <c r="H109" s="56"/>
      <c r="I109" s="56"/>
      <c r="J109" s="56"/>
      <c r="K109" s="56"/>
    </row>
    <row r="110" spans="1:11" ht="13" x14ac:dyDescent="0.15">
      <c r="A110" s="56"/>
      <c r="B110" s="56"/>
      <c r="C110" s="56"/>
      <c r="D110" s="56"/>
      <c r="E110" s="57"/>
      <c r="F110" s="58"/>
      <c r="G110" s="57"/>
      <c r="H110" s="56"/>
      <c r="I110" s="56"/>
      <c r="J110" s="56"/>
      <c r="K110" s="56"/>
    </row>
    <row r="111" spans="1:11" ht="14" x14ac:dyDescent="0.2">
      <c r="A111" s="56"/>
      <c r="B111" s="56"/>
      <c r="C111" s="25" t="s">
        <v>80</v>
      </c>
      <c r="D111" s="56"/>
      <c r="E111" s="59">
        <f t="shared" ref="E111:F111" si="9">SUM(E103:E109)</f>
        <v>9000</v>
      </c>
      <c r="F111" s="63">
        <f t="shared" si="9"/>
        <v>-8550</v>
      </c>
      <c r="G111" s="59">
        <f>E111+F111</f>
        <v>450</v>
      </c>
      <c r="H111" s="56"/>
      <c r="I111" s="56"/>
      <c r="J111" s="56"/>
      <c r="K111" s="56"/>
    </row>
    <row r="112" spans="1:11" ht="13" x14ac:dyDescent="0.15">
      <c r="A112" s="47"/>
      <c r="B112" s="47"/>
      <c r="C112" s="47"/>
      <c r="D112" s="47"/>
      <c r="E112" s="48"/>
      <c r="F112" s="48"/>
      <c r="G112" s="48"/>
      <c r="H112" s="47"/>
      <c r="I112" s="47"/>
      <c r="J112" s="47"/>
      <c r="K112" s="47"/>
    </row>
    <row r="113" spans="1:11" ht="14" x14ac:dyDescent="0.2">
      <c r="A113" s="47"/>
      <c r="B113" s="47"/>
      <c r="C113" s="50" t="s">
        <v>102</v>
      </c>
      <c r="D113" s="49"/>
      <c r="E113" s="66">
        <f t="shared" ref="E113:F113" si="10">SUMIFS(E2:E112,$C2:$C112,"Subsubtotal")</f>
        <v>122735</v>
      </c>
      <c r="F113" s="66">
        <f t="shared" si="10"/>
        <v>-130934</v>
      </c>
      <c r="G113" s="51">
        <f>SUM(G2:G112)</f>
        <v>-8199</v>
      </c>
      <c r="H113" s="47"/>
      <c r="I113" s="47"/>
      <c r="J113" s="47"/>
      <c r="K113" s="47"/>
    </row>
    <row r="114" spans="1:11" ht="13" x14ac:dyDescent="0.15">
      <c r="A114" s="47"/>
      <c r="B114" s="47"/>
      <c r="C114" s="47"/>
      <c r="D114" s="47"/>
      <c r="E114" s="48"/>
      <c r="F114" s="48"/>
      <c r="G114" s="48"/>
      <c r="H114" s="47"/>
      <c r="I114" s="47"/>
      <c r="J114" s="47"/>
      <c r="K114" s="47"/>
    </row>
  </sheetData>
  <conditionalFormatting sqref="E2:G114">
    <cfRule type="cellIs" dxfId="84" priority="1" operator="greaterThan">
      <formula>0</formula>
    </cfRule>
    <cfRule type="cellIs" dxfId="83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71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" x14ac:dyDescent="0.2">
      <c r="A2" s="25" t="s">
        <v>21</v>
      </c>
      <c r="B2" s="36"/>
      <c r="C2" s="36"/>
      <c r="D2" s="67"/>
      <c r="E2" s="67"/>
      <c r="F2" s="67"/>
      <c r="G2" s="68"/>
      <c r="H2" s="69"/>
    </row>
    <row r="3" spans="1:10" ht="15" x14ac:dyDescent="0.2">
      <c r="A3" s="1" t="s">
        <v>76</v>
      </c>
      <c r="B3" s="25" t="s">
        <v>77</v>
      </c>
      <c r="C3" s="36"/>
      <c r="D3" s="67"/>
      <c r="E3" s="67"/>
      <c r="F3" s="67"/>
      <c r="G3" s="68"/>
      <c r="H3" s="69"/>
      <c r="I3" s="30"/>
      <c r="J3" s="30"/>
    </row>
    <row r="4" spans="1:10" ht="15" x14ac:dyDescent="0.2">
      <c r="A4" s="36"/>
      <c r="B4" s="36"/>
      <c r="C4" s="1" t="s">
        <v>247</v>
      </c>
      <c r="D4" s="67"/>
      <c r="E4" s="70">
        <v>20000</v>
      </c>
      <c r="F4" s="71">
        <v>0</v>
      </c>
      <c r="G4" s="68"/>
      <c r="I4" s="30"/>
      <c r="J4" s="30"/>
    </row>
    <row r="5" spans="1:10" ht="15" x14ac:dyDescent="0.2">
      <c r="A5" s="36"/>
      <c r="B5" s="36"/>
      <c r="C5" s="1" t="s">
        <v>186</v>
      </c>
      <c r="D5" s="67"/>
      <c r="E5" s="71">
        <v>0</v>
      </c>
      <c r="F5" s="72">
        <v>-14000</v>
      </c>
      <c r="G5" s="68"/>
      <c r="H5" s="69"/>
      <c r="I5" s="30"/>
      <c r="J5" s="30"/>
    </row>
    <row r="6" spans="1:10" ht="15" x14ac:dyDescent="0.2">
      <c r="A6" s="36"/>
      <c r="B6" s="36"/>
      <c r="C6" s="1" t="s">
        <v>248</v>
      </c>
      <c r="D6" s="67"/>
      <c r="E6" s="71">
        <v>0</v>
      </c>
      <c r="F6" s="72">
        <v>-800</v>
      </c>
      <c r="G6" s="68"/>
      <c r="H6" s="69"/>
      <c r="I6" s="30"/>
      <c r="J6" s="30"/>
    </row>
    <row r="7" spans="1:10" ht="15" x14ac:dyDescent="0.2">
      <c r="A7" s="36"/>
      <c r="B7" s="36"/>
      <c r="C7" s="1" t="s">
        <v>249</v>
      </c>
      <c r="D7" s="67"/>
      <c r="E7" s="71">
        <v>0</v>
      </c>
      <c r="F7" s="72">
        <v>-3500</v>
      </c>
      <c r="G7" s="68"/>
      <c r="H7" s="69"/>
      <c r="I7" s="30"/>
      <c r="J7" s="30"/>
    </row>
    <row r="8" spans="1:10" ht="15.75" customHeight="1" x14ac:dyDescent="0.15">
      <c r="A8" s="36"/>
      <c r="B8" s="36"/>
      <c r="C8" s="36"/>
      <c r="D8" s="67"/>
      <c r="E8" s="67"/>
      <c r="F8" s="67"/>
      <c r="G8" s="68"/>
      <c r="H8" s="69"/>
      <c r="I8" s="30"/>
      <c r="J8" s="30"/>
    </row>
    <row r="9" spans="1:10" ht="15" x14ac:dyDescent="0.2">
      <c r="A9" s="36"/>
      <c r="B9" s="36"/>
      <c r="C9" s="25" t="s">
        <v>80</v>
      </c>
      <c r="D9" s="67"/>
      <c r="E9" s="70">
        <f t="shared" ref="E9:F9" si="0">SUM(E3:E8)</f>
        <v>20000</v>
      </c>
      <c r="F9" s="72">
        <f t="shared" si="0"/>
        <v>-18300</v>
      </c>
      <c r="G9" s="73">
        <f>SUM(E9:F9)</f>
        <v>1700</v>
      </c>
      <c r="H9" s="69"/>
      <c r="I9" s="30"/>
      <c r="J9" s="30"/>
    </row>
    <row r="10" spans="1:10" ht="15.75" customHeight="1" x14ac:dyDescent="0.15">
      <c r="A10" s="36"/>
      <c r="B10" s="36"/>
      <c r="C10" s="36"/>
      <c r="D10" s="67"/>
      <c r="E10" s="67"/>
      <c r="F10" s="67"/>
      <c r="G10" s="69"/>
      <c r="H10" s="69"/>
      <c r="I10" s="30"/>
      <c r="J10" s="30"/>
    </row>
    <row r="11" spans="1:10" ht="15" x14ac:dyDescent="0.2">
      <c r="A11" s="36"/>
      <c r="B11" s="25" t="s">
        <v>81</v>
      </c>
      <c r="C11" s="36"/>
      <c r="D11" s="74"/>
      <c r="E11" s="67"/>
      <c r="F11" s="67"/>
      <c r="G11" s="38"/>
      <c r="H11" s="38"/>
      <c r="I11" s="30"/>
      <c r="J11" s="30"/>
    </row>
    <row r="12" spans="1:10" ht="15" x14ac:dyDescent="0.2">
      <c r="A12" s="36"/>
      <c r="B12" s="36"/>
      <c r="C12" s="1" t="s">
        <v>82</v>
      </c>
      <c r="D12" s="74"/>
      <c r="E12" s="8">
        <v>0</v>
      </c>
      <c r="F12" s="72">
        <v>-5500</v>
      </c>
      <c r="G12" s="40"/>
      <c r="H12" s="75"/>
      <c r="I12" s="30"/>
      <c r="J12" s="30"/>
    </row>
    <row r="13" spans="1:10" ht="15" x14ac:dyDescent="0.2">
      <c r="A13" s="36"/>
      <c r="B13" s="36"/>
      <c r="C13" s="1" t="s">
        <v>83</v>
      </c>
      <c r="D13" s="74"/>
      <c r="E13" s="8">
        <v>0</v>
      </c>
      <c r="F13" s="72">
        <v>-3300</v>
      </c>
      <c r="G13" s="40"/>
      <c r="H13" s="75"/>
      <c r="I13" s="30"/>
      <c r="J13" s="30"/>
    </row>
    <row r="14" spans="1:10" ht="15" x14ac:dyDescent="0.2">
      <c r="A14" s="36"/>
      <c r="B14" s="36"/>
      <c r="C14" s="1" t="s">
        <v>250</v>
      </c>
      <c r="D14" s="67"/>
      <c r="E14" s="71">
        <v>0</v>
      </c>
      <c r="F14" s="72">
        <v>-1000</v>
      </c>
      <c r="G14" s="38"/>
      <c r="H14" s="75"/>
      <c r="I14" s="30"/>
      <c r="J14" s="30"/>
    </row>
    <row r="15" spans="1:10" ht="15" x14ac:dyDescent="0.2">
      <c r="A15" s="36"/>
      <c r="B15" s="36"/>
      <c r="C15" s="1" t="s">
        <v>85</v>
      </c>
      <c r="D15" s="74"/>
      <c r="E15" s="8">
        <v>0</v>
      </c>
      <c r="F15" s="72">
        <v>-1740</v>
      </c>
      <c r="G15" s="38"/>
      <c r="H15" s="75"/>
      <c r="I15" s="30"/>
      <c r="J15" s="30"/>
    </row>
    <row r="16" spans="1:10" ht="15" x14ac:dyDescent="0.2">
      <c r="A16" s="36"/>
      <c r="B16" s="36"/>
      <c r="C16" s="1" t="s">
        <v>84</v>
      </c>
      <c r="D16" s="74"/>
      <c r="E16" s="31">
        <v>870</v>
      </c>
      <c r="F16" s="71">
        <v>0</v>
      </c>
      <c r="G16" s="38"/>
      <c r="H16" s="75"/>
      <c r="I16" s="30"/>
      <c r="J16" s="30"/>
    </row>
    <row r="17" spans="1:8" ht="15.75" customHeight="1" x14ac:dyDescent="0.15">
      <c r="A17" s="36"/>
      <c r="B17" s="36"/>
      <c r="C17" s="36"/>
      <c r="D17" s="74"/>
      <c r="E17" s="67"/>
      <c r="F17" s="67"/>
      <c r="G17" s="38"/>
      <c r="H17" s="38"/>
    </row>
    <row r="18" spans="1:8" ht="15" x14ac:dyDescent="0.2">
      <c r="A18" s="36"/>
      <c r="B18" s="36"/>
      <c r="C18" s="25" t="s">
        <v>80</v>
      </c>
      <c r="D18" s="74"/>
      <c r="E18" s="70">
        <f t="shared" ref="E18:F18" si="1">SUM(E12:E16)</f>
        <v>870</v>
      </c>
      <c r="F18" s="72">
        <f t="shared" si="1"/>
        <v>-11540</v>
      </c>
      <c r="G18" s="76">
        <f>SUM(E18:F18)</f>
        <v>-10670</v>
      </c>
      <c r="H18" s="38"/>
    </row>
    <row r="19" spans="1:8" ht="15.75" customHeight="1" x14ac:dyDescent="0.15">
      <c r="A19" s="36"/>
      <c r="B19" s="36"/>
      <c r="C19" s="36"/>
      <c r="D19" s="67"/>
      <c r="E19" s="67"/>
      <c r="F19" s="67"/>
      <c r="G19" s="68"/>
      <c r="H19" s="69"/>
    </row>
    <row r="20" spans="1:8" ht="15" x14ac:dyDescent="0.2">
      <c r="A20" s="36"/>
      <c r="B20" s="36"/>
      <c r="C20" s="25" t="s">
        <v>102</v>
      </c>
      <c r="D20" s="67"/>
      <c r="E20" s="70">
        <f t="shared" ref="E20:F20" si="2">SUMIFS(E2:E18,$C2:$C18,"Subsubtotal")</f>
        <v>20870</v>
      </c>
      <c r="F20" s="70">
        <f t="shared" si="2"/>
        <v>-29840</v>
      </c>
      <c r="G20" s="76">
        <f>SUM(E20:F20)</f>
        <v>-8970</v>
      </c>
      <c r="H20" s="69"/>
    </row>
    <row r="21" spans="1:8" ht="14" x14ac:dyDescent="0.2">
      <c r="E21" s="10"/>
      <c r="F21" s="10"/>
      <c r="G21" s="10"/>
    </row>
    <row r="22" spans="1:8" ht="14" x14ac:dyDescent="0.2">
      <c r="E22" s="10"/>
      <c r="F22" s="10"/>
      <c r="G22" s="10"/>
    </row>
    <row r="23" spans="1:8" ht="14" x14ac:dyDescent="0.2">
      <c r="E23" s="10"/>
      <c r="F23" s="10"/>
      <c r="G23" s="10"/>
    </row>
    <row r="24" spans="1:8" ht="14" x14ac:dyDescent="0.2">
      <c r="E24" s="10"/>
      <c r="F24" s="10"/>
      <c r="G24" s="10"/>
    </row>
    <row r="25" spans="1:8" ht="14" x14ac:dyDescent="0.2">
      <c r="E25" s="10"/>
      <c r="F25" s="10"/>
      <c r="G25" s="10"/>
    </row>
    <row r="26" spans="1:8" ht="14" x14ac:dyDescent="0.2">
      <c r="E26" s="10"/>
      <c r="F26" s="10"/>
      <c r="G26" s="10"/>
    </row>
    <row r="27" spans="1:8" ht="14" x14ac:dyDescent="0.2">
      <c r="E27" s="10"/>
      <c r="F27" s="10"/>
      <c r="G27" s="10"/>
    </row>
    <row r="28" spans="1:8" ht="14" x14ac:dyDescent="0.2">
      <c r="E28" s="10"/>
      <c r="F28" s="10"/>
      <c r="G28" s="10"/>
    </row>
    <row r="29" spans="1:8" ht="14" x14ac:dyDescent="0.2">
      <c r="E29" s="10"/>
      <c r="F29" s="10"/>
      <c r="G29" s="10"/>
    </row>
    <row r="30" spans="1:8" ht="14" x14ac:dyDescent="0.2">
      <c r="E30" s="10"/>
      <c r="F30" s="10"/>
      <c r="G30" s="10"/>
    </row>
    <row r="31" spans="1:8" ht="14" x14ac:dyDescent="0.2">
      <c r="E31" s="10"/>
      <c r="F31" s="10"/>
      <c r="G31" s="10"/>
    </row>
    <row r="32" spans="1:8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4" x14ac:dyDescent="0.2">
      <c r="E55" s="10"/>
      <c r="F55" s="10"/>
      <c r="G55" s="10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</sheetData>
  <conditionalFormatting sqref="E2:G719">
    <cfRule type="cellIs" dxfId="82" priority="1" operator="greaterThan">
      <formula>0</formula>
    </cfRule>
    <cfRule type="cellIs" dxfId="8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842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23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251</v>
      </c>
      <c r="D4" s="77" t="s">
        <v>252</v>
      </c>
      <c r="E4" s="8">
        <v>0</v>
      </c>
      <c r="F4" s="37">
        <v>-8500</v>
      </c>
      <c r="G4" s="10"/>
      <c r="H4" s="1"/>
      <c r="I4" s="1"/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 t="s">
        <v>253</v>
      </c>
      <c r="D5" s="77" t="s">
        <v>254</v>
      </c>
      <c r="E5" s="8">
        <v>0</v>
      </c>
      <c r="F5" s="37">
        <v>-6000</v>
      </c>
      <c r="G5" s="10"/>
      <c r="H5" s="1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1" t="s">
        <v>255</v>
      </c>
      <c r="D6" s="77" t="s">
        <v>256</v>
      </c>
      <c r="E6" s="8">
        <v>0</v>
      </c>
      <c r="F6" s="37">
        <v>-2000</v>
      </c>
      <c r="G6" s="10"/>
      <c r="H6" s="1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 t="s">
        <v>257</v>
      </c>
      <c r="D7" s="77" t="s">
        <v>258</v>
      </c>
      <c r="E7" s="8">
        <v>0</v>
      </c>
      <c r="F7" s="37">
        <v>-1000</v>
      </c>
      <c r="G7" s="10"/>
      <c r="H7" s="1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25"/>
      <c r="C8" s="1" t="s">
        <v>259</v>
      </c>
      <c r="D8" s="77" t="s">
        <v>260</v>
      </c>
      <c r="E8" s="8">
        <v>0</v>
      </c>
      <c r="F8" s="37">
        <v>-1240</v>
      </c>
      <c r="G8" s="10"/>
      <c r="H8" s="1"/>
      <c r="I8" s="1"/>
      <c r="J8" s="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1" t="s">
        <v>261</v>
      </c>
      <c r="D9" s="77" t="s">
        <v>262</v>
      </c>
      <c r="E9" s="8">
        <v>0</v>
      </c>
      <c r="F9" s="37">
        <v>-3600</v>
      </c>
      <c r="G9" s="10"/>
      <c r="H9" s="1"/>
      <c r="I9" s="1"/>
      <c r="J9" s="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1"/>
      <c r="C10" s="1" t="s">
        <v>263</v>
      </c>
      <c r="D10" s="77" t="s">
        <v>264</v>
      </c>
      <c r="E10" s="8">
        <v>0</v>
      </c>
      <c r="F10" s="37">
        <v>-1200</v>
      </c>
      <c r="G10" s="10"/>
      <c r="H10" s="1"/>
      <c r="I10" s="1"/>
      <c r="J10" s="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25"/>
      <c r="C11" s="1"/>
      <c r="D11" s="77"/>
      <c r="E11" s="78"/>
      <c r="F11" s="78"/>
      <c r="G11" s="10"/>
      <c r="H11" s="1"/>
      <c r="I11" s="1"/>
      <c r="J11" s="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25" t="s">
        <v>80</v>
      </c>
      <c r="D12" s="77"/>
      <c r="E12" s="8">
        <f>SUM(E2:E9)</f>
        <v>0</v>
      </c>
      <c r="F12" s="37">
        <f>SUM(F4:F11)</f>
        <v>-23540</v>
      </c>
      <c r="G12" s="10">
        <f>E12+F12</f>
        <v>-23540</v>
      </c>
      <c r="H12" s="1"/>
      <c r="I12" s="1"/>
      <c r="J12" s="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/>
      <c r="D13" s="1"/>
      <c r="E13" s="10"/>
      <c r="F13" s="10"/>
      <c r="G13" s="10"/>
      <c r="H13" s="1"/>
      <c r="I13" s="1"/>
      <c r="J13" s="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25" t="s">
        <v>81</v>
      </c>
      <c r="C14" s="1"/>
      <c r="D14" s="1"/>
      <c r="E14" s="10"/>
      <c r="F14" s="10"/>
      <c r="G14" s="10"/>
      <c r="H14" s="1"/>
      <c r="I14" s="1"/>
      <c r="J14" s="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 t="s">
        <v>82</v>
      </c>
      <c r="D15" s="1">
        <v>7631</v>
      </c>
      <c r="E15" s="10">
        <v>0</v>
      </c>
      <c r="F15" s="10">
        <v>-17000</v>
      </c>
      <c r="G15" s="10"/>
      <c r="H15" s="1"/>
      <c r="I15" s="1"/>
      <c r="J15" s="1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1"/>
      <c r="C16" s="1" t="s">
        <v>83</v>
      </c>
      <c r="D16" s="1">
        <v>7691</v>
      </c>
      <c r="E16" s="10">
        <v>0</v>
      </c>
      <c r="F16" s="10">
        <v>-7650</v>
      </c>
      <c r="G16" s="10"/>
      <c r="H16" s="1"/>
      <c r="I16" s="1"/>
      <c r="J16" s="1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1" t="s">
        <v>131</v>
      </c>
      <c r="D17" s="1">
        <v>7630</v>
      </c>
      <c r="E17" s="10">
        <v>0</v>
      </c>
      <c r="F17" s="10">
        <v>-1000</v>
      </c>
      <c r="G17" s="10"/>
      <c r="H17" s="1"/>
      <c r="I17" s="1"/>
      <c r="J17" s="1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 t="s">
        <v>132</v>
      </c>
      <c r="D18" s="1">
        <v>5931</v>
      </c>
      <c r="E18" s="10">
        <v>0</v>
      </c>
      <c r="F18" s="10">
        <v>-15000</v>
      </c>
      <c r="G18" s="10"/>
      <c r="H18" s="1"/>
      <c r="I18" s="1"/>
      <c r="J18" s="1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1"/>
      <c r="D19" s="1"/>
      <c r="E19" s="10"/>
      <c r="F19" s="10"/>
      <c r="G19" s="10"/>
      <c r="H19" s="1"/>
      <c r="I19" s="1"/>
      <c r="J19" s="1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25" t="s">
        <v>80</v>
      </c>
      <c r="D20" s="1"/>
      <c r="E20" s="10">
        <f t="shared" ref="E20:F20" si="0">SUM(E15:E18)</f>
        <v>0</v>
      </c>
      <c r="F20" s="10">
        <f t="shared" si="0"/>
        <v>-40650</v>
      </c>
      <c r="G20" s="10">
        <f>E20+F20</f>
        <v>-40650</v>
      </c>
      <c r="H20" s="1"/>
      <c r="I20" s="1"/>
      <c r="J20" s="1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1"/>
      <c r="C21" s="25"/>
      <c r="D21" s="1"/>
      <c r="E21" s="10"/>
      <c r="F21" s="10"/>
      <c r="G21" s="10"/>
      <c r="H21" s="1"/>
      <c r="I21" s="1"/>
      <c r="J21" s="1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25" t="s">
        <v>265</v>
      </c>
      <c r="C22" s="1"/>
      <c r="D22" s="1"/>
      <c r="E22" s="10"/>
      <c r="F22" s="10"/>
      <c r="G22" s="10"/>
      <c r="H22" s="1"/>
      <c r="I22" s="1"/>
      <c r="J22" s="1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25"/>
      <c r="C23" s="1" t="s">
        <v>266</v>
      </c>
      <c r="D23" s="1" t="s">
        <v>92</v>
      </c>
      <c r="E23" s="10">
        <v>550000</v>
      </c>
      <c r="F23" s="10">
        <v>0</v>
      </c>
      <c r="G23" s="10"/>
      <c r="H23" s="1"/>
      <c r="I23" s="1"/>
      <c r="J23" s="1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x14ac:dyDescent="0.2">
      <c r="A24" s="1"/>
      <c r="B24" s="1"/>
      <c r="C24" s="1" t="s">
        <v>267</v>
      </c>
      <c r="D24" s="1" t="s">
        <v>179</v>
      </c>
      <c r="E24" s="10">
        <v>0</v>
      </c>
      <c r="F24" s="10">
        <v>-400000</v>
      </c>
      <c r="G24" s="10"/>
      <c r="H24" s="1"/>
      <c r="I24" s="1"/>
      <c r="J24" s="1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1"/>
      <c r="B25" s="1"/>
      <c r="C25" s="1" t="s">
        <v>268</v>
      </c>
      <c r="D25" s="1">
        <v>4031</v>
      </c>
      <c r="E25" s="10">
        <v>0</v>
      </c>
      <c r="F25" s="10">
        <v>-8000</v>
      </c>
      <c r="G25" s="10"/>
      <c r="H25" s="1" t="s">
        <v>269</v>
      </c>
      <c r="I25" s="1"/>
      <c r="J25" s="1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1"/>
      <c r="B26" s="1"/>
      <c r="C26" s="1"/>
      <c r="D26" s="1"/>
      <c r="E26" s="10"/>
      <c r="F26" s="10"/>
      <c r="G26" s="10"/>
      <c r="H26" s="1"/>
      <c r="I26" s="1"/>
      <c r="J26" s="1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1"/>
      <c r="B27" s="1"/>
      <c r="C27" s="25" t="s">
        <v>80</v>
      </c>
      <c r="D27" s="1"/>
      <c r="E27" s="10">
        <f t="shared" ref="E27:F27" si="1">SUM(E23:E25)</f>
        <v>550000</v>
      </c>
      <c r="F27" s="10">
        <f t="shared" si="1"/>
        <v>-408000</v>
      </c>
      <c r="G27" s="10">
        <f>E27+F27</f>
        <v>142000</v>
      </c>
      <c r="H27" s="1"/>
      <c r="I27" s="1"/>
      <c r="J27" s="1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" x14ac:dyDescent="0.2">
      <c r="A28" s="1"/>
      <c r="B28" s="1"/>
      <c r="C28" s="1"/>
      <c r="D28" s="1"/>
      <c r="E28" s="10"/>
      <c r="F28" s="10"/>
      <c r="G28" s="10"/>
      <c r="H28" s="1"/>
      <c r="I28" s="1"/>
      <c r="J28" s="1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" x14ac:dyDescent="0.2">
      <c r="A29" s="1"/>
      <c r="B29" s="25" t="s">
        <v>270</v>
      </c>
      <c r="C29" s="1"/>
      <c r="D29" s="1"/>
      <c r="E29" s="10"/>
      <c r="F29" s="10"/>
      <c r="G29" s="10"/>
      <c r="H29" s="1"/>
      <c r="I29" s="1"/>
      <c r="J29" s="1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" x14ac:dyDescent="0.2">
      <c r="A30" s="1"/>
      <c r="B30" s="1"/>
      <c r="C30" s="1" t="s">
        <v>177</v>
      </c>
      <c r="D30" s="61">
        <v>3029</v>
      </c>
      <c r="E30" s="62">
        <v>60000</v>
      </c>
      <c r="F30" s="62">
        <v>0</v>
      </c>
      <c r="G30" s="10"/>
      <c r="H30" s="1"/>
      <c r="I30" s="1"/>
      <c r="J30" s="1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" x14ac:dyDescent="0.2">
      <c r="A31" s="1"/>
      <c r="B31" s="1"/>
      <c r="C31" s="1" t="s">
        <v>172</v>
      </c>
      <c r="D31" s="61">
        <v>4029</v>
      </c>
      <c r="E31" s="62">
        <v>0</v>
      </c>
      <c r="F31" s="62">
        <v>-60000</v>
      </c>
      <c r="G31" s="10"/>
      <c r="H31" s="1"/>
      <c r="I31" s="1"/>
      <c r="J31" s="1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" x14ac:dyDescent="0.2">
      <c r="A32" s="1"/>
      <c r="B32" s="1"/>
      <c r="C32" s="1" t="s">
        <v>96</v>
      </c>
      <c r="D32" s="61">
        <v>5411</v>
      </c>
      <c r="E32" s="62">
        <v>0</v>
      </c>
      <c r="F32" s="62">
        <v>-9700</v>
      </c>
      <c r="G32" s="10"/>
      <c r="H32" s="1"/>
      <c r="I32" s="1"/>
      <c r="J32" s="1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x14ac:dyDescent="0.2">
      <c r="A33" s="1"/>
      <c r="B33" s="1"/>
      <c r="C33" s="1" t="s">
        <v>97</v>
      </c>
      <c r="D33" s="61">
        <v>7691</v>
      </c>
      <c r="E33" s="62">
        <v>0</v>
      </c>
      <c r="F33" s="62">
        <v>-6000</v>
      </c>
      <c r="G33" s="10"/>
      <c r="H33" s="1"/>
      <c r="I33" s="1"/>
      <c r="J33" s="1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x14ac:dyDescent="0.2">
      <c r="A34" s="1"/>
      <c r="B34" s="1"/>
      <c r="C34" s="1" t="s">
        <v>255</v>
      </c>
      <c r="D34" s="61">
        <v>5460</v>
      </c>
      <c r="E34" s="62">
        <v>0</v>
      </c>
      <c r="F34" s="62">
        <v>-7000</v>
      </c>
      <c r="G34" s="10"/>
      <c r="H34" s="1"/>
      <c r="I34" s="1"/>
      <c r="J34" s="1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x14ac:dyDescent="0.2">
      <c r="A35" s="1"/>
      <c r="B35" s="1"/>
      <c r="C35" s="1" t="s">
        <v>271</v>
      </c>
      <c r="D35" s="61">
        <v>6800</v>
      </c>
      <c r="E35" s="62">
        <v>0</v>
      </c>
      <c r="F35" s="62">
        <v>-4000</v>
      </c>
      <c r="G35" s="10"/>
      <c r="H35" s="1"/>
      <c r="I35" s="1"/>
      <c r="J35" s="1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" x14ac:dyDescent="0.2">
      <c r="A36" s="1"/>
      <c r="B36" s="1"/>
      <c r="C36" s="1"/>
      <c r="D36" s="1"/>
      <c r="E36" s="10"/>
      <c r="F36" s="10"/>
      <c r="G36" s="10"/>
      <c r="H36" s="1"/>
      <c r="I36" s="1"/>
      <c r="J36" s="1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" x14ac:dyDescent="0.2">
      <c r="A37" s="1"/>
      <c r="B37" s="1"/>
      <c r="C37" s="25" t="s">
        <v>80</v>
      </c>
      <c r="D37" s="1"/>
      <c r="E37" s="10">
        <f t="shared" ref="E37:F37" si="2">SUM(E30:E35)</f>
        <v>60000</v>
      </c>
      <c r="F37" s="10">
        <f t="shared" si="2"/>
        <v>-86700</v>
      </c>
      <c r="G37" s="10">
        <f>E37+F37</f>
        <v>-26700</v>
      </c>
      <c r="H37" s="1"/>
      <c r="I37" s="1"/>
      <c r="J37" s="1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" x14ac:dyDescent="0.2">
      <c r="A38" s="1"/>
      <c r="B38" s="1"/>
      <c r="C38" s="1"/>
      <c r="D38" s="1"/>
      <c r="E38" s="10"/>
      <c r="F38" s="10"/>
      <c r="G38" s="10"/>
      <c r="H38" s="1"/>
      <c r="I38" s="1"/>
      <c r="J38" s="1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" x14ac:dyDescent="0.2">
      <c r="A39" s="1"/>
      <c r="B39" s="25" t="s">
        <v>272</v>
      </c>
      <c r="C39" s="1"/>
      <c r="D39" s="1"/>
      <c r="E39" s="10"/>
      <c r="F39" s="10"/>
      <c r="G39" s="10"/>
      <c r="H39" s="1"/>
      <c r="I39" s="1"/>
      <c r="J39" s="1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" x14ac:dyDescent="0.2">
      <c r="A40" s="1"/>
      <c r="B40" s="1"/>
      <c r="C40" s="1" t="s">
        <v>96</v>
      </c>
      <c r="D40" s="1">
        <v>5411</v>
      </c>
      <c r="E40" s="10">
        <v>0</v>
      </c>
      <c r="F40" s="10">
        <v>-2000</v>
      </c>
      <c r="G40" s="10"/>
      <c r="H40" s="1"/>
      <c r="I40" s="1"/>
      <c r="J40" s="1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x14ac:dyDescent="0.2">
      <c r="A41" s="28"/>
      <c r="B41" s="1"/>
      <c r="C41" s="1" t="s">
        <v>175</v>
      </c>
      <c r="D41" s="1">
        <v>4031</v>
      </c>
      <c r="E41" s="10">
        <v>0</v>
      </c>
      <c r="F41" s="10">
        <v>-500</v>
      </c>
      <c r="G41" s="1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x14ac:dyDescent="0.2">
      <c r="A42" s="28"/>
      <c r="B42" s="1"/>
      <c r="C42" s="1" t="s">
        <v>97</v>
      </c>
      <c r="D42" s="1">
        <v>7691</v>
      </c>
      <c r="E42" s="10">
        <v>0</v>
      </c>
      <c r="F42" s="10">
        <v>-1000</v>
      </c>
      <c r="G42" s="1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" x14ac:dyDescent="0.2">
      <c r="A43" s="28"/>
      <c r="B43" s="1"/>
      <c r="C43" s="1"/>
      <c r="D43" s="1"/>
      <c r="E43" s="10"/>
      <c r="F43" s="10"/>
      <c r="G43" s="1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" x14ac:dyDescent="0.2">
      <c r="A44" s="28"/>
      <c r="B44" s="1"/>
      <c r="C44" s="25" t="s">
        <v>80</v>
      </c>
      <c r="D44" s="1"/>
      <c r="E44" s="10">
        <f t="shared" ref="E44:F44" si="3">SUM(E40:E42)</f>
        <v>0</v>
      </c>
      <c r="F44" s="10">
        <f t="shared" si="3"/>
        <v>-3500</v>
      </c>
      <c r="G44" s="10">
        <f>E44+F44</f>
        <v>-3500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15">
      <c r="A45" s="28"/>
      <c r="B45" s="28"/>
      <c r="C45" s="28"/>
      <c r="D45" s="28"/>
      <c r="E45" s="29"/>
      <c r="F45" s="29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" x14ac:dyDescent="0.2">
      <c r="A46" s="28"/>
      <c r="B46" s="25" t="s">
        <v>273</v>
      </c>
      <c r="C46" s="1"/>
      <c r="D46" s="1"/>
      <c r="E46" s="10"/>
      <c r="F46" s="10"/>
      <c r="G46" s="1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" x14ac:dyDescent="0.2">
      <c r="A47" s="1"/>
      <c r="B47" s="1"/>
      <c r="C47" s="1" t="s">
        <v>96</v>
      </c>
      <c r="D47" s="1">
        <v>5411</v>
      </c>
      <c r="E47" s="10">
        <v>0</v>
      </c>
      <c r="F47" s="10">
        <v>-2000</v>
      </c>
      <c r="G47" s="10"/>
      <c r="H47" s="1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" x14ac:dyDescent="0.2">
      <c r="A48" s="1"/>
      <c r="B48" s="1"/>
      <c r="C48" s="1" t="s">
        <v>175</v>
      </c>
      <c r="D48" s="1">
        <v>4031</v>
      </c>
      <c r="E48" s="10">
        <v>0</v>
      </c>
      <c r="F48" s="10">
        <v>-500</v>
      </c>
      <c r="G48" s="10"/>
      <c r="H48" s="1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" x14ac:dyDescent="0.2">
      <c r="A49" s="1"/>
      <c r="B49" s="1"/>
      <c r="C49" s="1" t="s">
        <v>97</v>
      </c>
      <c r="D49" s="1">
        <v>7691</v>
      </c>
      <c r="E49" s="10">
        <v>0</v>
      </c>
      <c r="F49" s="10">
        <v>-1000</v>
      </c>
      <c r="G49" s="10"/>
      <c r="H49" s="1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" x14ac:dyDescent="0.2">
      <c r="A50" s="1"/>
      <c r="B50" s="1"/>
      <c r="C50" s="1"/>
      <c r="D50" s="1"/>
      <c r="E50" s="10"/>
      <c r="F50" s="10"/>
      <c r="G50" s="10"/>
      <c r="H50" s="1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" x14ac:dyDescent="0.2">
      <c r="A51" s="1"/>
      <c r="B51" s="1"/>
      <c r="C51" s="25" t="s">
        <v>80</v>
      </c>
      <c r="D51" s="1"/>
      <c r="E51" s="10">
        <f t="shared" ref="E51:F51" si="4">SUM(E47:E49)</f>
        <v>0</v>
      </c>
      <c r="F51" s="10">
        <f t="shared" si="4"/>
        <v>-3500</v>
      </c>
      <c r="G51" s="10">
        <f>E51+F51</f>
        <v>-3500</v>
      </c>
      <c r="H51" s="1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" x14ac:dyDescent="0.2">
      <c r="A52" s="1"/>
      <c r="B52" s="1"/>
      <c r="C52" s="1"/>
      <c r="D52" s="1"/>
      <c r="E52" s="10"/>
      <c r="F52" s="10"/>
      <c r="G52" s="10"/>
      <c r="H52" s="1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" x14ac:dyDescent="0.2">
      <c r="A53" s="1"/>
      <c r="B53" s="25" t="s">
        <v>274</v>
      </c>
      <c r="C53" s="1"/>
      <c r="D53" s="1"/>
      <c r="E53" s="10"/>
      <c r="F53" s="10"/>
      <c r="G53" s="10"/>
      <c r="H53" s="1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" x14ac:dyDescent="0.2">
      <c r="A54" s="1"/>
      <c r="B54" s="1"/>
      <c r="C54" s="1" t="s">
        <v>275</v>
      </c>
      <c r="D54" s="1" t="s">
        <v>89</v>
      </c>
      <c r="E54" s="10">
        <v>75000</v>
      </c>
      <c r="F54" s="10">
        <v>0</v>
      </c>
      <c r="G54" s="10"/>
      <c r="H54" s="1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" x14ac:dyDescent="0.2">
      <c r="A55" s="1"/>
      <c r="B55" s="1"/>
      <c r="C55" s="1" t="s">
        <v>276</v>
      </c>
      <c r="D55" s="1">
        <v>4620</v>
      </c>
      <c r="E55" s="10">
        <v>0</v>
      </c>
      <c r="F55" s="10">
        <v>-140000</v>
      </c>
      <c r="G55" s="10"/>
      <c r="H55" s="1"/>
      <c r="I55" s="28" t="s">
        <v>277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" x14ac:dyDescent="0.2">
      <c r="A56" s="1"/>
      <c r="B56" s="1"/>
      <c r="C56" s="1" t="s">
        <v>99</v>
      </c>
      <c r="D56" s="1">
        <v>4027</v>
      </c>
      <c r="E56" s="10">
        <v>0</v>
      </c>
      <c r="F56" s="10">
        <v>-4000</v>
      </c>
      <c r="G56" s="10"/>
      <c r="H56" s="1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" x14ac:dyDescent="0.2">
      <c r="A57" s="1"/>
      <c r="B57" s="1"/>
      <c r="C57" s="1" t="s">
        <v>278</v>
      </c>
      <c r="D57" s="1">
        <v>6150</v>
      </c>
      <c r="E57" s="10">
        <v>0</v>
      </c>
      <c r="F57" s="10">
        <v>-1000</v>
      </c>
      <c r="G57" s="10"/>
      <c r="H57" s="1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" x14ac:dyDescent="0.2">
      <c r="A58" s="1"/>
      <c r="B58" s="1"/>
      <c r="C58" s="1" t="s">
        <v>279</v>
      </c>
      <c r="D58" s="1">
        <v>7630</v>
      </c>
      <c r="E58" s="10">
        <v>0</v>
      </c>
      <c r="F58" s="10">
        <v>-1000</v>
      </c>
      <c r="G58" s="10"/>
      <c r="H58" s="1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" x14ac:dyDescent="0.2">
      <c r="A59" s="1"/>
      <c r="B59" s="1"/>
      <c r="C59" s="1"/>
      <c r="D59" s="1"/>
      <c r="E59" s="10"/>
      <c r="F59" s="10"/>
      <c r="G59" s="10"/>
      <c r="H59" s="1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" x14ac:dyDescent="0.2">
      <c r="A60" s="1"/>
      <c r="B60" s="1"/>
      <c r="C60" s="25" t="s">
        <v>80</v>
      </c>
      <c r="D60" s="1"/>
      <c r="E60" s="10">
        <f t="shared" ref="E60:F60" si="5">SUM(E54:E58)</f>
        <v>75000</v>
      </c>
      <c r="F60" s="10">
        <f t="shared" si="5"/>
        <v>-146000</v>
      </c>
      <c r="G60" s="10">
        <f>E60+F60</f>
        <v>-71000</v>
      </c>
      <c r="H60" s="1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" x14ac:dyDescent="0.2">
      <c r="A61" s="1"/>
      <c r="B61" s="1"/>
      <c r="C61" s="1"/>
      <c r="D61" s="1"/>
      <c r="E61" s="10"/>
      <c r="F61" s="10"/>
      <c r="G61" s="10"/>
      <c r="H61" s="1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" x14ac:dyDescent="0.2">
      <c r="A62" s="1"/>
      <c r="B62" s="25" t="s">
        <v>280</v>
      </c>
      <c r="C62" s="1"/>
      <c r="D62" s="1"/>
      <c r="E62" s="10"/>
      <c r="F62" s="10"/>
      <c r="G62" s="10"/>
      <c r="H62" s="1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" x14ac:dyDescent="0.2">
      <c r="A63" s="1"/>
      <c r="B63" s="1"/>
      <c r="C63" s="1" t="s">
        <v>88</v>
      </c>
      <c r="D63" s="1" t="s">
        <v>89</v>
      </c>
      <c r="E63" s="62">
        <v>17520</v>
      </c>
      <c r="F63" s="62">
        <v>0</v>
      </c>
      <c r="G63" s="10"/>
      <c r="H63" s="1" t="s">
        <v>281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" x14ac:dyDescent="0.2">
      <c r="A64" s="1"/>
      <c r="B64" s="1"/>
      <c r="C64" s="1" t="s">
        <v>91</v>
      </c>
      <c r="D64" s="1" t="s">
        <v>92</v>
      </c>
      <c r="E64" s="62">
        <v>0</v>
      </c>
      <c r="F64" s="62">
        <v>-5088</v>
      </c>
      <c r="G64" s="10"/>
      <c r="H64" s="1" t="s">
        <v>282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" x14ac:dyDescent="0.2">
      <c r="A65" s="1"/>
      <c r="B65" s="1"/>
      <c r="C65" s="1" t="s">
        <v>94</v>
      </c>
      <c r="D65" s="61">
        <v>4029</v>
      </c>
      <c r="E65" s="62">
        <v>0</v>
      </c>
      <c r="F65" s="62">
        <v>-7200</v>
      </c>
      <c r="G65" s="10"/>
      <c r="H65" s="1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" x14ac:dyDescent="0.2">
      <c r="A66" s="1"/>
      <c r="B66" s="1"/>
      <c r="C66" s="1" t="s">
        <v>96</v>
      </c>
      <c r="D66" s="61">
        <v>5411</v>
      </c>
      <c r="E66" s="62">
        <v>0</v>
      </c>
      <c r="F66" s="62">
        <v>-800</v>
      </c>
      <c r="G66" s="10"/>
      <c r="H66" s="1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" x14ac:dyDescent="0.2">
      <c r="A67" s="1"/>
      <c r="B67" s="1"/>
      <c r="C67" s="1" t="s">
        <v>97</v>
      </c>
      <c r="D67" s="61">
        <v>7691</v>
      </c>
      <c r="E67" s="62">
        <v>0</v>
      </c>
      <c r="F67" s="62">
        <v>-500</v>
      </c>
      <c r="G67" s="10"/>
      <c r="H67" s="1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" x14ac:dyDescent="0.2">
      <c r="A68" s="1"/>
      <c r="B68" s="1"/>
      <c r="C68" s="1" t="s">
        <v>98</v>
      </c>
      <c r="D68" s="61">
        <v>5463</v>
      </c>
      <c r="E68" s="62">
        <v>0</v>
      </c>
      <c r="F68" s="62">
        <v>-1200</v>
      </c>
      <c r="G68" s="10"/>
      <c r="H68" s="1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" x14ac:dyDescent="0.2">
      <c r="A69" s="1"/>
      <c r="B69" s="1"/>
      <c r="C69" s="1" t="s">
        <v>99</v>
      </c>
      <c r="D69" s="61">
        <v>4027</v>
      </c>
      <c r="E69" s="62">
        <v>0</v>
      </c>
      <c r="F69" s="62">
        <v>-2700</v>
      </c>
      <c r="G69" s="10"/>
      <c r="H69" s="1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" x14ac:dyDescent="0.2">
      <c r="A70" s="1"/>
      <c r="B70" s="1"/>
      <c r="C70" s="1"/>
      <c r="D70" s="1"/>
      <c r="E70" s="10"/>
      <c r="F70" s="10"/>
      <c r="G70" s="10"/>
      <c r="H70" s="1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" x14ac:dyDescent="0.2">
      <c r="A71" s="1"/>
      <c r="B71" s="1"/>
      <c r="C71" s="25" t="s">
        <v>80</v>
      </c>
      <c r="D71" s="1"/>
      <c r="E71" s="62">
        <f t="shared" ref="E71:F71" si="6">SUM(E63:E69)</f>
        <v>17520</v>
      </c>
      <c r="F71" s="62">
        <f t="shared" si="6"/>
        <v>-17488</v>
      </c>
      <c r="G71" s="62">
        <f>E71+F71</f>
        <v>32</v>
      </c>
      <c r="H71" s="1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" x14ac:dyDescent="0.2">
      <c r="A72" s="1"/>
      <c r="B72" s="1"/>
      <c r="C72" s="1"/>
      <c r="D72" s="1"/>
      <c r="E72" s="10"/>
      <c r="F72" s="10"/>
      <c r="G72" s="10"/>
      <c r="H72" s="1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" x14ac:dyDescent="0.2">
      <c r="A73" s="1"/>
      <c r="B73" s="25" t="s">
        <v>283</v>
      </c>
      <c r="C73" s="28"/>
      <c r="D73" s="28"/>
      <c r="E73" s="34"/>
      <c r="F73" s="34"/>
      <c r="G73" s="34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" x14ac:dyDescent="0.2">
      <c r="A74" s="1"/>
      <c r="B74" s="28"/>
      <c r="C74" s="1" t="s">
        <v>238</v>
      </c>
      <c r="D74" s="1" t="s">
        <v>89</v>
      </c>
      <c r="E74" s="62">
        <v>17500</v>
      </c>
      <c r="F74" s="62">
        <v>0</v>
      </c>
      <c r="G74" s="10"/>
      <c r="H74" s="1" t="s">
        <v>284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" x14ac:dyDescent="0.2">
      <c r="A75" s="1"/>
      <c r="B75" s="28"/>
      <c r="C75" s="1" t="s">
        <v>172</v>
      </c>
      <c r="D75" s="61">
        <v>4029</v>
      </c>
      <c r="E75" s="62">
        <v>0</v>
      </c>
      <c r="F75" s="62">
        <v>-15000</v>
      </c>
      <c r="G75" s="10"/>
      <c r="H75" s="1" t="s">
        <v>285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" x14ac:dyDescent="0.2">
      <c r="A76" s="1"/>
      <c r="B76" s="28"/>
      <c r="C76" s="1" t="s">
        <v>286</v>
      </c>
      <c r="D76" s="1" t="s">
        <v>179</v>
      </c>
      <c r="E76" s="62">
        <v>0</v>
      </c>
      <c r="F76" s="62">
        <v>-8000</v>
      </c>
      <c r="G76" s="1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" x14ac:dyDescent="0.2">
      <c r="A77" s="1"/>
      <c r="B77" s="28"/>
      <c r="C77" s="1" t="s">
        <v>101</v>
      </c>
      <c r="D77" s="61">
        <v>5010</v>
      </c>
      <c r="E77" s="62">
        <v>0</v>
      </c>
      <c r="F77" s="62">
        <v>-1200</v>
      </c>
      <c r="G77" s="1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" x14ac:dyDescent="0.2">
      <c r="A78" s="1"/>
      <c r="B78" s="28"/>
      <c r="C78" s="1" t="s">
        <v>96</v>
      </c>
      <c r="D78" s="61">
        <v>5411</v>
      </c>
      <c r="E78" s="62">
        <v>0</v>
      </c>
      <c r="F78" s="62">
        <v>-1000</v>
      </c>
      <c r="G78" s="1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" x14ac:dyDescent="0.2">
      <c r="A79" s="1"/>
      <c r="B79" s="28"/>
      <c r="C79" s="1" t="s">
        <v>97</v>
      </c>
      <c r="D79" s="61">
        <v>7691</v>
      </c>
      <c r="E79" s="62">
        <v>0</v>
      </c>
      <c r="F79" s="62">
        <v>-500</v>
      </c>
      <c r="G79" s="1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" x14ac:dyDescent="0.2">
      <c r="A80" s="1"/>
      <c r="B80" s="28"/>
      <c r="C80" s="1" t="s">
        <v>99</v>
      </c>
      <c r="D80" s="61">
        <v>4027</v>
      </c>
      <c r="E80" s="62">
        <v>0</v>
      </c>
      <c r="F80" s="62">
        <v>-2000</v>
      </c>
      <c r="G80" s="1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" x14ac:dyDescent="0.2">
      <c r="A81" s="1"/>
      <c r="B81" s="28"/>
      <c r="C81" s="1" t="s">
        <v>98</v>
      </c>
      <c r="D81" s="61">
        <v>5463</v>
      </c>
      <c r="E81" s="62">
        <v>0</v>
      </c>
      <c r="F81" s="62">
        <v>-2000</v>
      </c>
      <c r="G81" s="1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" x14ac:dyDescent="0.2">
      <c r="A82" s="1"/>
      <c r="B82" s="1"/>
      <c r="C82" s="1"/>
      <c r="D82" s="1"/>
      <c r="E82" s="10"/>
      <c r="F82" s="10"/>
      <c r="G82" s="10"/>
      <c r="H82" s="1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" x14ac:dyDescent="0.2">
      <c r="A83" s="1"/>
      <c r="B83" s="1"/>
      <c r="C83" s="25" t="s">
        <v>80</v>
      </c>
      <c r="D83" s="1"/>
      <c r="E83" s="10">
        <f t="shared" ref="E83:F83" si="7">SUM(E74:E81)</f>
        <v>17500</v>
      </c>
      <c r="F83" s="10">
        <f t="shared" si="7"/>
        <v>-29700</v>
      </c>
      <c r="G83" s="10">
        <f>E83+F83</f>
        <v>-12200</v>
      </c>
      <c r="H83" s="1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" x14ac:dyDescent="0.2">
      <c r="A84" s="1"/>
      <c r="B84" s="1"/>
      <c r="C84" s="1"/>
      <c r="D84" s="1"/>
      <c r="E84" s="10"/>
      <c r="F84" s="10"/>
      <c r="G84" s="10"/>
      <c r="H84" s="1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" x14ac:dyDescent="0.2">
      <c r="A85" s="1"/>
      <c r="B85" s="25" t="s">
        <v>287</v>
      </c>
      <c r="C85" s="56"/>
      <c r="D85" s="56"/>
      <c r="E85" s="57"/>
      <c r="F85" s="57"/>
      <c r="G85" s="57"/>
      <c r="H85" s="56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" x14ac:dyDescent="0.2">
      <c r="A86" s="1"/>
      <c r="B86" s="56"/>
      <c r="C86" s="1" t="s">
        <v>88</v>
      </c>
      <c r="D86" s="1" t="s">
        <v>89</v>
      </c>
      <c r="E86" s="62">
        <v>12620</v>
      </c>
      <c r="F86" s="62">
        <v>0</v>
      </c>
      <c r="G86" s="79"/>
      <c r="H86" s="1" t="s">
        <v>288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" x14ac:dyDescent="0.2">
      <c r="A87" s="1"/>
      <c r="B87" s="56"/>
      <c r="C87" s="1" t="s">
        <v>91</v>
      </c>
      <c r="D87" s="1" t="s">
        <v>92</v>
      </c>
      <c r="E87" s="62">
        <v>0</v>
      </c>
      <c r="F87" s="62">
        <v>-3728</v>
      </c>
      <c r="G87" s="79"/>
      <c r="H87" s="56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" x14ac:dyDescent="0.2">
      <c r="A88" s="1"/>
      <c r="B88" s="56"/>
      <c r="C88" s="1" t="s">
        <v>94</v>
      </c>
      <c r="D88" s="61">
        <v>4029</v>
      </c>
      <c r="E88" s="62">
        <v>0</v>
      </c>
      <c r="F88" s="62">
        <v>-4800</v>
      </c>
      <c r="G88" s="79"/>
      <c r="H88" s="56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" x14ac:dyDescent="0.2">
      <c r="A89" s="1"/>
      <c r="B89" s="56"/>
      <c r="C89" s="1" t="s">
        <v>96</v>
      </c>
      <c r="D89" s="61">
        <v>5411</v>
      </c>
      <c r="E89" s="62">
        <v>0</v>
      </c>
      <c r="F89" s="62">
        <v>-500</v>
      </c>
      <c r="G89" s="79"/>
      <c r="H89" s="56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" x14ac:dyDescent="0.2">
      <c r="A90" s="1"/>
      <c r="B90" s="56"/>
      <c r="C90" s="1" t="s">
        <v>97</v>
      </c>
      <c r="D90" s="61">
        <v>7691</v>
      </c>
      <c r="E90" s="62">
        <v>0</v>
      </c>
      <c r="F90" s="62">
        <v>-200</v>
      </c>
      <c r="G90" s="79"/>
      <c r="H90" s="56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" x14ac:dyDescent="0.2">
      <c r="A91" s="1"/>
      <c r="B91" s="56"/>
      <c r="C91" s="1" t="s">
        <v>98</v>
      </c>
      <c r="D91" s="61">
        <v>5463</v>
      </c>
      <c r="E91" s="62">
        <v>0</v>
      </c>
      <c r="F91" s="62">
        <v>-800</v>
      </c>
      <c r="G91" s="79"/>
      <c r="H91" s="56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" x14ac:dyDescent="0.2">
      <c r="A92" s="1"/>
      <c r="B92" s="56"/>
      <c r="C92" s="1" t="s">
        <v>99</v>
      </c>
      <c r="D92" s="61">
        <v>4027</v>
      </c>
      <c r="E92" s="62">
        <v>0</v>
      </c>
      <c r="F92" s="62">
        <v>-1900</v>
      </c>
      <c r="G92" s="79"/>
      <c r="H92" s="56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" x14ac:dyDescent="0.2">
      <c r="A93" s="1"/>
      <c r="B93" s="56"/>
      <c r="C93" s="56"/>
      <c r="D93" s="56"/>
      <c r="E93" s="79"/>
      <c r="F93" s="79"/>
      <c r="G93" s="79"/>
      <c r="H93" s="56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" x14ac:dyDescent="0.2">
      <c r="A94" s="1"/>
      <c r="B94" s="56"/>
      <c r="C94" s="25" t="s">
        <v>80</v>
      </c>
      <c r="D94" s="56"/>
      <c r="E94" s="62">
        <f t="shared" ref="E94:F94" si="8">SUM(E86:E92)</f>
        <v>12620</v>
      </c>
      <c r="F94" s="62">
        <f t="shared" si="8"/>
        <v>-11928</v>
      </c>
      <c r="G94" s="62">
        <f>E94+F94</f>
        <v>692</v>
      </c>
      <c r="H94" s="56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" x14ac:dyDescent="0.2">
      <c r="A95" s="1"/>
      <c r="B95" s="1"/>
      <c r="C95" s="1"/>
      <c r="D95" s="1"/>
      <c r="E95" s="10"/>
      <c r="F95" s="10"/>
      <c r="G95" s="10"/>
      <c r="H95" s="1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" x14ac:dyDescent="0.2">
      <c r="A96" s="1"/>
      <c r="B96" s="25" t="s">
        <v>289</v>
      </c>
      <c r="C96" s="56"/>
      <c r="D96" s="56"/>
      <c r="E96" s="57"/>
      <c r="F96" s="57"/>
      <c r="G96" s="57"/>
      <c r="H96" s="56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" x14ac:dyDescent="0.2">
      <c r="A97" s="1"/>
      <c r="B97" s="56"/>
      <c r="C97" s="1" t="s">
        <v>88</v>
      </c>
      <c r="D97" s="80" t="s">
        <v>89</v>
      </c>
      <c r="E97" s="62">
        <v>5000</v>
      </c>
      <c r="F97" s="62">
        <v>0</v>
      </c>
      <c r="G97" s="79"/>
      <c r="H97" s="1" t="s">
        <v>290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" x14ac:dyDescent="0.2">
      <c r="A98" s="1"/>
      <c r="B98" s="56"/>
      <c r="C98" s="1" t="s">
        <v>172</v>
      </c>
      <c r="D98" s="61">
        <v>4029</v>
      </c>
      <c r="E98" s="62">
        <v>0</v>
      </c>
      <c r="F98" s="62">
        <v>-4000</v>
      </c>
      <c r="G98" s="79"/>
      <c r="H98" s="56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" x14ac:dyDescent="0.2">
      <c r="A99" s="1"/>
      <c r="B99" s="56"/>
      <c r="C99" s="1" t="s">
        <v>286</v>
      </c>
      <c r="D99" s="1" t="s">
        <v>179</v>
      </c>
      <c r="E99" s="62">
        <v>0</v>
      </c>
      <c r="F99" s="62">
        <v>-2000</v>
      </c>
      <c r="G99" s="79"/>
      <c r="H99" s="56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" x14ac:dyDescent="0.2">
      <c r="A100" s="1"/>
      <c r="B100" s="56"/>
      <c r="C100" s="1" t="s">
        <v>291</v>
      </c>
      <c r="D100" s="61">
        <v>5460</v>
      </c>
      <c r="E100" s="62">
        <v>0</v>
      </c>
      <c r="F100" s="62">
        <v>-500</v>
      </c>
      <c r="G100" s="79"/>
      <c r="H100" s="56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" x14ac:dyDescent="0.2">
      <c r="A101" s="1"/>
      <c r="B101" s="56"/>
      <c r="C101" s="1" t="s">
        <v>96</v>
      </c>
      <c r="D101" s="61">
        <v>5411</v>
      </c>
      <c r="E101" s="62">
        <v>0</v>
      </c>
      <c r="F101" s="62">
        <v>-500</v>
      </c>
      <c r="G101" s="79"/>
      <c r="H101" s="56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" x14ac:dyDescent="0.2">
      <c r="A102" s="1"/>
      <c r="B102" s="56"/>
      <c r="C102" s="1" t="s">
        <v>175</v>
      </c>
      <c r="D102" s="61">
        <v>4031</v>
      </c>
      <c r="E102" s="62">
        <v>0</v>
      </c>
      <c r="F102" s="62">
        <v>-200</v>
      </c>
      <c r="G102" s="79"/>
      <c r="H102" s="1" t="s">
        <v>292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" x14ac:dyDescent="0.2">
      <c r="A103" s="1"/>
      <c r="B103" s="56"/>
      <c r="C103" s="1" t="s">
        <v>97</v>
      </c>
      <c r="D103" s="61">
        <v>7691</v>
      </c>
      <c r="E103" s="62">
        <v>0</v>
      </c>
      <c r="F103" s="62">
        <v>-200</v>
      </c>
      <c r="G103" s="79"/>
      <c r="H103" s="56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" x14ac:dyDescent="0.2">
      <c r="A104" s="1"/>
      <c r="B104" s="1"/>
      <c r="C104" s="1"/>
      <c r="D104" s="1"/>
      <c r="E104" s="10"/>
      <c r="F104" s="10"/>
      <c r="G104" s="10"/>
      <c r="H104" s="1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" x14ac:dyDescent="0.2">
      <c r="A105" s="1"/>
      <c r="B105" s="1"/>
      <c r="C105" s="25" t="s">
        <v>80</v>
      </c>
      <c r="D105" s="1"/>
      <c r="E105" s="10">
        <f t="shared" ref="E105:F105" si="9">SUM(E97:E103)</f>
        <v>5000</v>
      </c>
      <c r="F105" s="10">
        <f t="shared" si="9"/>
        <v>-7400</v>
      </c>
      <c r="G105" s="10">
        <f>E105+F105</f>
        <v>-2400</v>
      </c>
      <c r="H105" s="1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" x14ac:dyDescent="0.2">
      <c r="A106" s="1"/>
      <c r="B106" s="1"/>
      <c r="C106" s="1"/>
      <c r="D106" s="1"/>
      <c r="E106" s="10"/>
      <c r="F106" s="10"/>
      <c r="G106" s="10"/>
      <c r="H106" s="1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" x14ac:dyDescent="0.2">
      <c r="A107" s="1"/>
      <c r="B107" s="25" t="s">
        <v>293</v>
      </c>
      <c r="C107" s="56"/>
      <c r="D107" s="56"/>
      <c r="E107" s="57"/>
      <c r="F107" s="57"/>
      <c r="G107" s="10"/>
      <c r="H107" s="1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" x14ac:dyDescent="0.2">
      <c r="A108" s="1"/>
      <c r="B108" s="56"/>
      <c r="C108" s="1" t="s">
        <v>238</v>
      </c>
      <c r="D108" s="61">
        <v>3041.3042</v>
      </c>
      <c r="E108" s="62">
        <v>9000</v>
      </c>
      <c r="F108" s="62">
        <v>0</v>
      </c>
      <c r="G108" s="10"/>
      <c r="H108" s="1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" x14ac:dyDescent="0.2">
      <c r="A109" s="1"/>
      <c r="B109" s="56"/>
      <c r="C109" s="1" t="s">
        <v>172</v>
      </c>
      <c r="D109" s="61">
        <v>4029</v>
      </c>
      <c r="E109" s="62">
        <v>0</v>
      </c>
      <c r="F109" s="62">
        <v>-4000</v>
      </c>
      <c r="G109" s="10"/>
      <c r="H109" s="1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4" x14ac:dyDescent="0.2">
      <c r="A110" s="1"/>
      <c r="B110" s="56"/>
      <c r="C110" s="1" t="s">
        <v>286</v>
      </c>
      <c r="D110" s="1" t="s">
        <v>179</v>
      </c>
      <c r="E110" s="62">
        <v>0</v>
      </c>
      <c r="F110" s="62">
        <v>-4000</v>
      </c>
      <c r="G110" s="10"/>
      <c r="H110" s="1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4" x14ac:dyDescent="0.2">
      <c r="A111" s="1"/>
      <c r="B111" s="56"/>
      <c r="C111" s="1" t="s">
        <v>96</v>
      </c>
      <c r="D111" s="61">
        <v>5411</v>
      </c>
      <c r="E111" s="62">
        <v>0</v>
      </c>
      <c r="F111" s="62">
        <v>-500</v>
      </c>
      <c r="G111" s="10"/>
      <c r="H111" s="1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4" x14ac:dyDescent="0.2">
      <c r="A112" s="1"/>
      <c r="B112" s="56"/>
      <c r="C112" s="1" t="s">
        <v>175</v>
      </c>
      <c r="D112" s="61">
        <v>4031</v>
      </c>
      <c r="E112" s="62">
        <v>0</v>
      </c>
      <c r="F112" s="62">
        <v>-200</v>
      </c>
      <c r="G112" s="10"/>
      <c r="H112" s="1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4" x14ac:dyDescent="0.2">
      <c r="A113" s="1"/>
      <c r="B113" s="56"/>
      <c r="C113" s="1" t="s">
        <v>97</v>
      </c>
      <c r="D113" s="61">
        <v>7691</v>
      </c>
      <c r="E113" s="62">
        <v>0</v>
      </c>
      <c r="F113" s="62">
        <v>-200</v>
      </c>
      <c r="G113" s="10"/>
      <c r="H113" s="1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4" x14ac:dyDescent="0.2">
      <c r="A114" s="1"/>
      <c r="B114" s="1"/>
      <c r="C114" s="1"/>
      <c r="D114" s="1"/>
      <c r="E114" s="10"/>
      <c r="F114" s="10"/>
      <c r="G114" s="10"/>
      <c r="H114" s="1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4" x14ac:dyDescent="0.2">
      <c r="A115" s="1"/>
      <c r="B115" s="1"/>
      <c r="C115" s="25" t="s">
        <v>80</v>
      </c>
      <c r="D115" s="1"/>
      <c r="E115" s="10">
        <f t="shared" ref="E115:F115" si="10">SUM(E108:E113)</f>
        <v>9000</v>
      </c>
      <c r="F115" s="10">
        <f t="shared" si="10"/>
        <v>-8900</v>
      </c>
      <c r="G115" s="10">
        <f>E115+F115</f>
        <v>100</v>
      </c>
      <c r="H115" s="1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4" x14ac:dyDescent="0.2">
      <c r="A116" s="1"/>
      <c r="B116" s="1"/>
      <c r="C116" s="1"/>
      <c r="D116" s="1"/>
      <c r="E116" s="10"/>
      <c r="F116" s="10"/>
      <c r="G116" s="10"/>
      <c r="H116" s="1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4" x14ac:dyDescent="0.2">
      <c r="A117" s="1"/>
      <c r="B117" s="25" t="s">
        <v>294</v>
      </c>
      <c r="C117" s="56"/>
      <c r="D117" s="56"/>
      <c r="E117" s="57"/>
      <c r="F117" s="57"/>
      <c r="G117" s="10"/>
      <c r="H117" s="1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4" x14ac:dyDescent="0.2">
      <c r="A118" s="1"/>
      <c r="B118" s="56"/>
      <c r="C118" s="1" t="s">
        <v>238</v>
      </c>
      <c r="D118" s="1" t="s">
        <v>89</v>
      </c>
      <c r="E118" s="62">
        <v>5650</v>
      </c>
      <c r="F118" s="62">
        <v>0</v>
      </c>
      <c r="G118" s="10"/>
      <c r="H118" s="1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4" x14ac:dyDescent="0.2">
      <c r="A119" s="1"/>
      <c r="B119" s="56"/>
      <c r="C119" s="1" t="s">
        <v>172</v>
      </c>
      <c r="D119" s="61">
        <v>4029</v>
      </c>
      <c r="E119" s="62">
        <v>0</v>
      </c>
      <c r="F119" s="62">
        <v>-4500</v>
      </c>
      <c r="G119" s="10"/>
      <c r="H119" s="1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4" x14ac:dyDescent="0.2">
      <c r="A120" s="1"/>
      <c r="B120" s="56"/>
      <c r="C120" s="1" t="s">
        <v>151</v>
      </c>
      <c r="D120" s="61">
        <v>5010</v>
      </c>
      <c r="E120" s="62">
        <v>0</v>
      </c>
      <c r="F120" s="62">
        <v>-1900</v>
      </c>
      <c r="G120" s="10"/>
      <c r="H120" s="1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4" x14ac:dyDescent="0.2">
      <c r="A121" s="1"/>
      <c r="B121" s="56"/>
      <c r="C121" s="1" t="s">
        <v>96</v>
      </c>
      <c r="D121" s="61">
        <v>5411</v>
      </c>
      <c r="E121" s="62">
        <v>0</v>
      </c>
      <c r="F121" s="62">
        <v>-2000</v>
      </c>
      <c r="G121" s="10"/>
      <c r="H121" s="1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4" x14ac:dyDescent="0.2">
      <c r="A122" s="1"/>
      <c r="B122" s="1"/>
      <c r="C122" s="1"/>
      <c r="D122" s="1"/>
      <c r="E122" s="10"/>
      <c r="F122" s="10"/>
      <c r="G122" s="10"/>
      <c r="H122" s="1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4" x14ac:dyDescent="0.2">
      <c r="A123" s="1"/>
      <c r="B123" s="1"/>
      <c r="C123" s="25" t="s">
        <v>80</v>
      </c>
      <c r="D123" s="1"/>
      <c r="E123" s="10">
        <f t="shared" ref="E123:F123" si="11">SUM(E118:E121)</f>
        <v>5650</v>
      </c>
      <c r="F123" s="10">
        <f t="shared" si="11"/>
        <v>-8400</v>
      </c>
      <c r="G123" s="10">
        <f>E123+F123</f>
        <v>-2750</v>
      </c>
      <c r="H123" s="1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4" x14ac:dyDescent="0.2">
      <c r="A124" s="1"/>
      <c r="B124" s="1"/>
      <c r="C124" s="1"/>
      <c r="D124" s="1"/>
      <c r="E124" s="10"/>
      <c r="F124" s="10"/>
      <c r="G124" s="10"/>
      <c r="H124" s="1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4" x14ac:dyDescent="0.2">
      <c r="A125" s="1"/>
      <c r="B125" s="25" t="s">
        <v>295</v>
      </c>
      <c r="C125" s="56"/>
      <c r="D125" s="56"/>
      <c r="E125" s="57"/>
      <c r="F125" s="57"/>
      <c r="G125" s="57"/>
      <c r="H125" s="56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4" x14ac:dyDescent="0.2">
      <c r="A126" s="1"/>
      <c r="B126" s="56"/>
      <c r="C126" s="1" t="s">
        <v>96</v>
      </c>
      <c r="D126" s="61">
        <v>5411</v>
      </c>
      <c r="E126" s="62">
        <v>0</v>
      </c>
      <c r="F126" s="62">
        <v>-2000</v>
      </c>
      <c r="G126" s="57"/>
      <c r="H126" s="56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4" x14ac:dyDescent="0.2">
      <c r="A127" s="1"/>
      <c r="B127" s="56"/>
      <c r="C127" s="1" t="s">
        <v>175</v>
      </c>
      <c r="D127" s="61">
        <v>4031</v>
      </c>
      <c r="E127" s="62">
        <v>0</v>
      </c>
      <c r="F127" s="62">
        <v>-2000</v>
      </c>
      <c r="G127" s="57"/>
      <c r="H127" s="56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4" x14ac:dyDescent="0.2">
      <c r="A128" s="1"/>
      <c r="B128" s="56"/>
      <c r="C128" s="1" t="s">
        <v>97</v>
      </c>
      <c r="D128" s="61">
        <v>7691</v>
      </c>
      <c r="E128" s="62">
        <v>0</v>
      </c>
      <c r="F128" s="62">
        <v>-1000</v>
      </c>
      <c r="G128" s="57"/>
      <c r="H128" s="56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4" x14ac:dyDescent="0.2">
      <c r="A129" s="1"/>
      <c r="B129" s="56"/>
      <c r="C129" s="1" t="s">
        <v>99</v>
      </c>
      <c r="D129" s="61">
        <v>4027</v>
      </c>
      <c r="E129" s="62">
        <v>0</v>
      </c>
      <c r="F129" s="62">
        <v>-6000</v>
      </c>
      <c r="G129" s="57"/>
      <c r="H129" s="56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" x14ac:dyDescent="0.2">
      <c r="A130" s="1"/>
      <c r="B130" s="56"/>
      <c r="C130" s="1" t="s">
        <v>296</v>
      </c>
      <c r="D130" s="61">
        <v>6800</v>
      </c>
      <c r="E130" s="62">
        <v>0</v>
      </c>
      <c r="F130" s="62">
        <v>-5500</v>
      </c>
      <c r="G130" s="57"/>
      <c r="I130" s="1" t="s">
        <v>297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4" x14ac:dyDescent="0.2">
      <c r="A131" s="1"/>
      <c r="B131" s="1"/>
      <c r="C131" s="1"/>
      <c r="D131" s="1"/>
      <c r="E131" s="10"/>
      <c r="F131" s="10"/>
      <c r="G131" s="10"/>
      <c r="H131" s="1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4" x14ac:dyDescent="0.2">
      <c r="A132" s="1"/>
      <c r="B132" s="1"/>
      <c r="C132" s="25" t="s">
        <v>80</v>
      </c>
      <c r="D132" s="1"/>
      <c r="E132" s="10">
        <f t="shared" ref="E132:F132" si="12">SUM(E126:E130)</f>
        <v>0</v>
      </c>
      <c r="F132" s="10">
        <f t="shared" si="12"/>
        <v>-16500</v>
      </c>
      <c r="G132" s="10">
        <f>E132+F132</f>
        <v>-16500</v>
      </c>
      <c r="H132" s="1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4" x14ac:dyDescent="0.2">
      <c r="A133" s="1"/>
      <c r="B133" s="1"/>
      <c r="C133" s="1"/>
      <c r="D133" s="1"/>
      <c r="E133" s="10"/>
      <c r="F133" s="10"/>
      <c r="G133" s="10"/>
      <c r="H133" s="1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4" x14ac:dyDescent="0.2">
      <c r="A134" s="1"/>
      <c r="B134" s="25" t="s">
        <v>298</v>
      </c>
      <c r="C134" s="1"/>
      <c r="D134" s="1"/>
      <c r="E134" s="10"/>
      <c r="F134" s="10"/>
      <c r="G134" s="10"/>
      <c r="H134" s="1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 x14ac:dyDescent="0.2">
      <c r="A135" s="1"/>
      <c r="B135" s="1"/>
      <c r="C135" s="1" t="s">
        <v>96</v>
      </c>
      <c r="D135" s="61">
        <v>5411</v>
      </c>
      <c r="E135" s="62">
        <v>0</v>
      </c>
      <c r="F135" s="62">
        <v>-2000</v>
      </c>
      <c r="G135" s="40"/>
      <c r="H135" s="1" t="s">
        <v>299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 x14ac:dyDescent="0.2">
      <c r="A136" s="1"/>
      <c r="B136" s="1"/>
      <c r="C136" s="1" t="s">
        <v>175</v>
      </c>
      <c r="D136" s="61">
        <v>4031</v>
      </c>
      <c r="E136" s="62">
        <v>0</v>
      </c>
      <c r="F136" s="62">
        <v>-300</v>
      </c>
      <c r="G136" s="40"/>
      <c r="H136" s="56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 x14ac:dyDescent="0.2">
      <c r="A137" s="28"/>
      <c r="B137" s="28"/>
      <c r="C137" s="1" t="s">
        <v>97</v>
      </c>
      <c r="D137" s="61">
        <v>7691</v>
      </c>
      <c r="E137" s="62">
        <v>0</v>
      </c>
      <c r="F137" s="62">
        <v>-300</v>
      </c>
      <c r="G137" s="40"/>
      <c r="H137" s="56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4" x14ac:dyDescent="0.2">
      <c r="A138" s="28"/>
      <c r="B138" s="28"/>
      <c r="C138" s="1"/>
      <c r="D138" s="1"/>
      <c r="E138" s="10"/>
      <c r="F138" s="10"/>
      <c r="G138" s="10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4" x14ac:dyDescent="0.2">
      <c r="A139" s="28"/>
      <c r="B139" s="28"/>
      <c r="C139" s="25" t="s">
        <v>80</v>
      </c>
      <c r="D139" s="1"/>
      <c r="E139" s="10">
        <f t="shared" ref="E139:F139" si="13">SUM(E135:E137)</f>
        <v>0</v>
      </c>
      <c r="F139" s="10">
        <f t="shared" si="13"/>
        <v>-2600</v>
      </c>
      <c r="G139" s="10">
        <f>E139+F139</f>
        <v>-2600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4" x14ac:dyDescent="0.2">
      <c r="A141" s="28"/>
      <c r="B141" s="28"/>
      <c r="C141" s="25" t="s">
        <v>102</v>
      </c>
      <c r="D141" s="1"/>
      <c r="E141" s="8">
        <f t="shared" ref="E141:F141" si="14">SUMIFS(E2:E140,$C2:$C140,"Subsubtotal")</f>
        <v>752290</v>
      </c>
      <c r="F141" s="31">
        <f t="shared" si="14"/>
        <v>-814806</v>
      </c>
      <c r="G141" s="10">
        <f>SUM(G2:G140)</f>
        <v>-62516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4" x14ac:dyDescent="0.2">
      <c r="A144" s="28"/>
      <c r="B144" s="28"/>
      <c r="C144" s="28"/>
      <c r="D144" s="28"/>
      <c r="E144" s="10"/>
      <c r="F144" s="10"/>
      <c r="G144" s="10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4" x14ac:dyDescent="0.2">
      <c r="A145" s="28"/>
      <c r="B145" s="28"/>
      <c r="C145" s="28"/>
      <c r="D145" s="28"/>
      <c r="E145" s="10"/>
      <c r="F145" s="10"/>
      <c r="G145" s="10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4" x14ac:dyDescent="0.2">
      <c r="A146" s="28"/>
      <c r="B146" s="28"/>
      <c r="C146" s="28"/>
      <c r="D146" s="28"/>
      <c r="E146" s="10"/>
      <c r="F146" s="10"/>
      <c r="G146" s="10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4" x14ac:dyDescent="0.2">
      <c r="A147" s="28"/>
      <c r="B147" s="28"/>
      <c r="C147" s="28"/>
      <c r="D147" s="28"/>
      <c r="E147" s="10"/>
      <c r="F147" s="10"/>
      <c r="G147" s="10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4" x14ac:dyDescent="0.2">
      <c r="A148" s="28"/>
      <c r="B148" s="28"/>
      <c r="C148" s="28"/>
      <c r="D148" s="28"/>
      <c r="E148" s="10"/>
      <c r="F148" s="10"/>
      <c r="G148" s="10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4" x14ac:dyDescent="0.2">
      <c r="A149" s="28"/>
      <c r="B149" s="28"/>
      <c r="C149" s="28"/>
      <c r="D149" s="28"/>
      <c r="E149" s="10"/>
      <c r="F149" s="10"/>
      <c r="G149" s="10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4" x14ac:dyDescent="0.2">
      <c r="A150" s="28"/>
      <c r="B150" s="28"/>
      <c r="C150" s="28"/>
      <c r="D150" s="28"/>
      <c r="E150" s="10"/>
      <c r="F150" s="10"/>
      <c r="G150" s="10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4" x14ac:dyDescent="0.2">
      <c r="A151" s="28"/>
      <c r="B151" s="28"/>
      <c r="C151" s="28"/>
      <c r="D151" s="28"/>
      <c r="E151" s="10"/>
      <c r="F151" s="10"/>
      <c r="G151" s="10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4" x14ac:dyDescent="0.2">
      <c r="A152" s="28"/>
      <c r="B152" s="28"/>
      <c r="C152" s="28"/>
      <c r="D152" s="28"/>
      <c r="E152" s="10"/>
      <c r="F152" s="10"/>
      <c r="G152" s="10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4" x14ac:dyDescent="0.2">
      <c r="A153" s="28"/>
      <c r="B153" s="28"/>
      <c r="C153" s="28"/>
      <c r="D153" s="28"/>
      <c r="E153" s="10"/>
      <c r="F153" s="10"/>
      <c r="G153" s="10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4" x14ac:dyDescent="0.2">
      <c r="A154" s="28"/>
      <c r="B154" s="28"/>
      <c r="C154" s="28"/>
      <c r="D154" s="28"/>
      <c r="E154" s="10"/>
      <c r="F154" s="10"/>
      <c r="G154" s="10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4" x14ac:dyDescent="0.2">
      <c r="A155" s="28"/>
      <c r="B155" s="28"/>
      <c r="C155" s="28"/>
      <c r="D155" s="28"/>
      <c r="E155" s="10"/>
      <c r="F155" s="10"/>
      <c r="G155" s="10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4" x14ac:dyDescent="0.2">
      <c r="A156" s="28"/>
      <c r="B156" s="28"/>
      <c r="C156" s="28"/>
      <c r="D156" s="28"/>
      <c r="E156" s="10"/>
      <c r="F156" s="10"/>
      <c r="G156" s="10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4" x14ac:dyDescent="0.2">
      <c r="A157" s="28"/>
      <c r="B157" s="28"/>
      <c r="C157" s="28"/>
      <c r="D157" s="28"/>
      <c r="E157" s="10"/>
      <c r="F157" s="10"/>
      <c r="G157" s="10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4" x14ac:dyDescent="0.2">
      <c r="A158" s="28"/>
      <c r="B158" s="28"/>
      <c r="C158" s="28"/>
      <c r="D158" s="28"/>
      <c r="E158" s="10"/>
      <c r="F158" s="10"/>
      <c r="G158" s="10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4" x14ac:dyDescent="0.2">
      <c r="A159" s="28"/>
      <c r="B159" s="28"/>
      <c r="C159" s="28"/>
      <c r="D159" s="28"/>
      <c r="E159" s="10"/>
      <c r="F159" s="10"/>
      <c r="G159" s="10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4" x14ac:dyDescent="0.2">
      <c r="A160" s="28"/>
      <c r="B160" s="28"/>
      <c r="C160" s="28"/>
      <c r="D160" s="28"/>
      <c r="E160" s="10"/>
      <c r="F160" s="10"/>
      <c r="G160" s="10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4" x14ac:dyDescent="0.2">
      <c r="A161" s="28"/>
      <c r="B161" s="28"/>
      <c r="C161" s="28"/>
      <c r="D161" s="28"/>
      <c r="E161" s="10"/>
      <c r="F161" s="10"/>
      <c r="G161" s="10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4" x14ac:dyDescent="0.2">
      <c r="A162" s="28"/>
      <c r="B162" s="28"/>
      <c r="C162" s="28"/>
      <c r="D162" s="28"/>
      <c r="E162" s="10"/>
      <c r="F162" s="10"/>
      <c r="G162" s="10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4" x14ac:dyDescent="0.2">
      <c r="A163" s="28"/>
      <c r="B163" s="28"/>
      <c r="C163" s="28"/>
      <c r="D163" s="28"/>
      <c r="E163" s="10"/>
      <c r="F163" s="10"/>
      <c r="G163" s="10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4" x14ac:dyDescent="0.2">
      <c r="A164" s="28"/>
      <c r="B164" s="28"/>
      <c r="C164" s="28"/>
      <c r="D164" s="28"/>
      <c r="E164" s="10"/>
      <c r="F164" s="10"/>
      <c r="G164" s="10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4" x14ac:dyDescent="0.2">
      <c r="A165" s="28"/>
      <c r="B165" s="28"/>
      <c r="C165" s="28"/>
      <c r="D165" s="28"/>
      <c r="E165" s="10"/>
      <c r="F165" s="10"/>
      <c r="G165" s="10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4" x14ac:dyDescent="0.2">
      <c r="A166" s="28"/>
      <c r="B166" s="28"/>
      <c r="C166" s="28"/>
      <c r="D166" s="28"/>
      <c r="E166" s="10"/>
      <c r="F166" s="10"/>
      <c r="G166" s="10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4" x14ac:dyDescent="0.2">
      <c r="A167" s="28"/>
      <c r="B167" s="28"/>
      <c r="C167" s="28"/>
      <c r="D167" s="28"/>
      <c r="E167" s="10"/>
      <c r="F167" s="10"/>
      <c r="G167" s="10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4" x14ac:dyDescent="0.2">
      <c r="A168" s="28"/>
      <c r="B168" s="28"/>
      <c r="C168" s="28"/>
      <c r="D168" s="28"/>
      <c r="E168" s="10"/>
      <c r="F168" s="10"/>
      <c r="G168" s="10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4" x14ac:dyDescent="0.2">
      <c r="A169" s="28"/>
      <c r="B169" s="28"/>
      <c r="C169" s="28"/>
      <c r="D169" s="28"/>
      <c r="E169" s="10"/>
      <c r="F169" s="10"/>
      <c r="G169" s="10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4" x14ac:dyDescent="0.2">
      <c r="A170" s="28"/>
      <c r="B170" s="28"/>
      <c r="C170" s="28"/>
      <c r="D170" s="28"/>
      <c r="E170" s="10"/>
      <c r="F170" s="10"/>
      <c r="G170" s="10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4" x14ac:dyDescent="0.2">
      <c r="A171" s="28"/>
      <c r="B171" s="28"/>
      <c r="C171" s="28"/>
      <c r="D171" s="28"/>
      <c r="E171" s="10"/>
      <c r="F171" s="10"/>
      <c r="G171" s="10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4" x14ac:dyDescent="0.2">
      <c r="A172" s="28"/>
      <c r="B172" s="28"/>
      <c r="C172" s="28"/>
      <c r="D172" s="28"/>
      <c r="E172" s="10"/>
      <c r="F172" s="10"/>
      <c r="G172" s="10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4" x14ac:dyDescent="0.2">
      <c r="A173" s="28"/>
      <c r="B173" s="28"/>
      <c r="C173" s="28"/>
      <c r="D173" s="28"/>
      <c r="E173" s="10"/>
      <c r="F173" s="10"/>
      <c r="G173" s="10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4" x14ac:dyDescent="0.2">
      <c r="A174" s="28"/>
      <c r="B174" s="28"/>
      <c r="C174" s="28"/>
      <c r="D174" s="28"/>
      <c r="E174" s="10"/>
      <c r="F174" s="10"/>
      <c r="G174" s="1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4" x14ac:dyDescent="0.2">
      <c r="A175" s="28"/>
      <c r="B175" s="28"/>
      <c r="C175" s="28"/>
      <c r="D175" s="28"/>
      <c r="E175" s="10"/>
      <c r="F175" s="10"/>
      <c r="G175" s="10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4" x14ac:dyDescent="0.2">
      <c r="A176" s="28"/>
      <c r="B176" s="28"/>
      <c r="C176" s="28"/>
      <c r="D176" s="28"/>
      <c r="E176" s="10"/>
      <c r="F176" s="10"/>
      <c r="G176" s="10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4" x14ac:dyDescent="0.2">
      <c r="A177" s="28"/>
      <c r="B177" s="28"/>
      <c r="C177" s="28"/>
      <c r="D177" s="28"/>
      <c r="E177" s="10"/>
      <c r="F177" s="10"/>
      <c r="G177" s="10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4" x14ac:dyDescent="0.2">
      <c r="A178" s="28"/>
      <c r="B178" s="28"/>
      <c r="C178" s="28"/>
      <c r="D178" s="28"/>
      <c r="E178" s="10"/>
      <c r="F178" s="10"/>
      <c r="G178" s="10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x14ac:dyDescent="0.15">
      <c r="A215" s="28"/>
      <c r="B215" s="28"/>
      <c r="C215" s="28"/>
      <c r="D215" s="28"/>
      <c r="E215" s="29"/>
      <c r="F215" s="29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x14ac:dyDescent="0.15">
      <c r="A216" s="28"/>
      <c r="B216" s="28"/>
      <c r="C216" s="28"/>
      <c r="D216" s="28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x14ac:dyDescent="0.15">
      <c r="A217" s="28"/>
      <c r="B217" s="28"/>
      <c r="C217" s="28"/>
      <c r="D217" s="28"/>
      <c r="E217" s="29"/>
      <c r="F217" s="29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x14ac:dyDescent="0.15">
      <c r="A218" s="28"/>
      <c r="B218" s="28"/>
      <c r="C218" s="28"/>
      <c r="D218" s="28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x14ac:dyDescent="0.15">
      <c r="A219" s="28"/>
      <c r="B219" s="28"/>
      <c r="C219" s="28"/>
      <c r="D219" s="28"/>
      <c r="E219" s="29"/>
      <c r="F219" s="29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x14ac:dyDescent="0.15">
      <c r="A220" s="28"/>
      <c r="B220" s="28"/>
      <c r="C220" s="28"/>
      <c r="D220" s="28"/>
      <c r="E220" s="29"/>
      <c r="F220" s="29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x14ac:dyDescent="0.15">
      <c r="A221" s="28"/>
      <c r="B221" s="28"/>
      <c r="C221" s="28"/>
      <c r="D221" s="28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x14ac:dyDescent="0.15">
      <c r="A222" s="28"/>
      <c r="B222" s="28"/>
      <c r="C222" s="28"/>
      <c r="D222" s="28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x14ac:dyDescent="0.15">
      <c r="A223" s="28"/>
      <c r="B223" s="28"/>
      <c r="C223" s="28"/>
      <c r="D223" s="28"/>
      <c r="E223" s="29"/>
      <c r="F223" s="29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x14ac:dyDescent="0.15">
      <c r="A224" s="28"/>
      <c r="B224" s="28"/>
      <c r="C224" s="28"/>
      <c r="D224" s="28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x14ac:dyDescent="0.15">
      <c r="A225" s="28"/>
      <c r="B225" s="28"/>
      <c r="C225" s="28"/>
      <c r="D225" s="28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x14ac:dyDescent="0.15">
      <c r="A226" s="28"/>
      <c r="B226" s="28"/>
      <c r="C226" s="28"/>
      <c r="D226" s="28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x14ac:dyDescent="0.15">
      <c r="A227" s="28"/>
      <c r="B227" s="28"/>
      <c r="C227" s="28"/>
      <c r="D227" s="28"/>
      <c r="E227" s="29"/>
      <c r="F227" s="29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x14ac:dyDescent="0.15">
      <c r="A228" s="28"/>
      <c r="B228" s="28"/>
      <c r="C228" s="28"/>
      <c r="D228" s="28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x14ac:dyDescent="0.15">
      <c r="A229" s="28"/>
      <c r="B229" s="28"/>
      <c r="C229" s="28"/>
      <c r="D229" s="28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x14ac:dyDescent="0.15">
      <c r="A230" s="28"/>
      <c r="B230" s="28"/>
      <c r="C230" s="28"/>
      <c r="D230" s="28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x14ac:dyDescent="0.15">
      <c r="A231" s="28"/>
      <c r="B231" s="28"/>
      <c r="C231" s="28"/>
      <c r="D231" s="28"/>
      <c r="E231" s="29"/>
      <c r="F231" s="29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x14ac:dyDescent="0.15">
      <c r="A232" s="28"/>
      <c r="B232" s="28"/>
      <c r="C232" s="28"/>
      <c r="D232" s="28"/>
      <c r="E232" s="29"/>
      <c r="F232" s="29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x14ac:dyDescent="0.15">
      <c r="A233" s="28"/>
      <c r="B233" s="28"/>
      <c r="C233" s="28"/>
      <c r="D233" s="28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x14ac:dyDescent="0.15">
      <c r="A234" s="28"/>
      <c r="B234" s="28"/>
      <c r="C234" s="28"/>
      <c r="D234" s="28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x14ac:dyDescent="0.15">
      <c r="A235" s="28"/>
      <c r="B235" s="28"/>
      <c r="C235" s="28"/>
      <c r="D235" s="28"/>
      <c r="E235" s="29"/>
      <c r="F235" s="29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x14ac:dyDescent="0.15">
      <c r="A236" s="28"/>
      <c r="B236" s="28"/>
      <c r="C236" s="28"/>
      <c r="D236" s="28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" x14ac:dyDescent="0.15">
      <c r="A237" s="28"/>
      <c r="B237" s="28"/>
      <c r="C237" s="28"/>
      <c r="D237" s="28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" x14ac:dyDescent="0.15">
      <c r="A238" s="28"/>
      <c r="B238" s="28"/>
      <c r="C238" s="28"/>
      <c r="D238" s="28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" x14ac:dyDescent="0.15">
      <c r="A239" s="28"/>
      <c r="B239" s="28"/>
      <c r="C239" s="28"/>
      <c r="D239" s="28"/>
      <c r="E239" s="29"/>
      <c r="F239" s="29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" x14ac:dyDescent="0.15">
      <c r="A240" s="28"/>
      <c r="B240" s="28"/>
      <c r="C240" s="28"/>
      <c r="D240" s="28"/>
      <c r="E240" s="29"/>
      <c r="F240" s="29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" x14ac:dyDescent="0.15">
      <c r="A241" s="28"/>
      <c r="B241" s="28"/>
      <c r="C241" s="28"/>
      <c r="D241" s="28"/>
      <c r="E241" s="29"/>
      <c r="F241" s="29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" x14ac:dyDescent="0.15">
      <c r="A242" s="28"/>
      <c r="B242" s="28"/>
      <c r="C242" s="28"/>
      <c r="D242" s="28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" x14ac:dyDescent="0.15">
      <c r="A243" s="28"/>
      <c r="B243" s="28"/>
      <c r="C243" s="28"/>
      <c r="D243" s="28"/>
      <c r="E243" s="29"/>
      <c r="F243" s="29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" x14ac:dyDescent="0.15">
      <c r="A244" s="28"/>
      <c r="B244" s="28"/>
      <c r="C244" s="28"/>
      <c r="D244" s="28"/>
      <c r="E244" s="29"/>
      <c r="F244" s="29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" x14ac:dyDescent="0.15">
      <c r="A245" s="28"/>
      <c r="B245" s="28"/>
      <c r="C245" s="28"/>
      <c r="D245" s="28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" x14ac:dyDescent="0.15">
      <c r="A246" s="28"/>
      <c r="B246" s="28"/>
      <c r="C246" s="28"/>
      <c r="D246" s="28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" x14ac:dyDescent="0.15">
      <c r="A247" s="28"/>
      <c r="B247" s="28"/>
      <c r="C247" s="28"/>
      <c r="D247" s="28"/>
      <c r="E247" s="29"/>
      <c r="F247" s="29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" x14ac:dyDescent="0.15">
      <c r="A248" s="28"/>
      <c r="B248" s="28"/>
      <c r="C248" s="28"/>
      <c r="D248" s="28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" x14ac:dyDescent="0.15">
      <c r="A249" s="28"/>
      <c r="B249" s="28"/>
      <c r="C249" s="28"/>
      <c r="D249" s="28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x14ac:dyDescent="0.15">
      <c r="A250" s="28"/>
      <c r="B250" s="28"/>
      <c r="C250" s="28"/>
      <c r="D250" s="28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x14ac:dyDescent="0.15">
      <c r="A251" s="28"/>
      <c r="B251" s="28"/>
      <c r="C251" s="28"/>
      <c r="D251" s="28"/>
      <c r="E251" s="29"/>
      <c r="F251" s="29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x14ac:dyDescent="0.15">
      <c r="A252" s="28"/>
      <c r="B252" s="28"/>
      <c r="C252" s="28"/>
      <c r="D252" s="28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x14ac:dyDescent="0.15">
      <c r="A253" s="28"/>
      <c r="B253" s="28"/>
      <c r="C253" s="28"/>
      <c r="D253" s="28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x14ac:dyDescent="0.15">
      <c r="A254" s="28"/>
      <c r="B254" s="28"/>
      <c r="C254" s="28"/>
      <c r="D254" s="28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x14ac:dyDescent="0.15">
      <c r="A255" s="28"/>
      <c r="B255" s="28"/>
      <c r="C255" s="28"/>
      <c r="D255" s="28"/>
      <c r="E255" s="29"/>
      <c r="F255" s="29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x14ac:dyDescent="0.15">
      <c r="A256" s="28"/>
      <c r="B256" s="28"/>
      <c r="C256" s="28"/>
      <c r="D256" s="28"/>
      <c r="E256" s="29"/>
      <c r="F256" s="29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x14ac:dyDescent="0.15">
      <c r="A257" s="28"/>
      <c r="B257" s="28"/>
      <c r="C257" s="28"/>
      <c r="D257" s="28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x14ac:dyDescent="0.15">
      <c r="A258" s="28"/>
      <c r="B258" s="28"/>
      <c r="C258" s="28"/>
      <c r="D258" s="28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x14ac:dyDescent="0.15">
      <c r="A259" s="28"/>
      <c r="B259" s="28"/>
      <c r="C259" s="28"/>
      <c r="D259" s="28"/>
      <c r="E259" s="29"/>
      <c r="F259" s="29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x14ac:dyDescent="0.15">
      <c r="A260" s="28"/>
      <c r="B260" s="28"/>
      <c r="C260" s="28"/>
      <c r="D260" s="28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x14ac:dyDescent="0.15">
      <c r="A261" s="28"/>
      <c r="B261" s="28"/>
      <c r="C261" s="28"/>
      <c r="D261" s="28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x14ac:dyDescent="0.15">
      <c r="A262" s="28"/>
      <c r="B262" s="28"/>
      <c r="C262" s="28"/>
      <c r="D262" s="28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x14ac:dyDescent="0.15">
      <c r="A263" s="28"/>
      <c r="B263" s="28"/>
      <c r="C263" s="28"/>
      <c r="D263" s="28"/>
      <c r="E263" s="29"/>
      <c r="F263" s="29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x14ac:dyDescent="0.15">
      <c r="A264" s="28"/>
      <c r="B264" s="28"/>
      <c r="C264" s="28"/>
      <c r="D264" s="28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x14ac:dyDescent="0.15">
      <c r="A265" s="28"/>
      <c r="B265" s="28"/>
      <c r="C265" s="28"/>
      <c r="D265" s="28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x14ac:dyDescent="0.15">
      <c r="A266" s="28"/>
      <c r="B266" s="28"/>
      <c r="C266" s="28"/>
      <c r="D266" s="28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x14ac:dyDescent="0.15">
      <c r="A267" s="28"/>
      <c r="B267" s="28"/>
      <c r="C267" s="28"/>
      <c r="D267" s="28"/>
      <c r="E267" s="29"/>
      <c r="F267" s="29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x14ac:dyDescent="0.15">
      <c r="A268" s="28"/>
      <c r="B268" s="28"/>
      <c r="C268" s="28"/>
      <c r="D268" s="28"/>
      <c r="E268" s="29"/>
      <c r="F268" s="29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x14ac:dyDescent="0.15">
      <c r="A269" s="28"/>
      <c r="B269" s="28"/>
      <c r="C269" s="28"/>
      <c r="D269" s="28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x14ac:dyDescent="0.15">
      <c r="A270" s="28"/>
      <c r="B270" s="28"/>
      <c r="C270" s="28"/>
      <c r="D270" s="28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x14ac:dyDescent="0.15">
      <c r="A271" s="28"/>
      <c r="B271" s="28"/>
      <c r="C271" s="28"/>
      <c r="D271" s="28"/>
      <c r="E271" s="29"/>
      <c r="F271" s="29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x14ac:dyDescent="0.15">
      <c r="A286" s="28"/>
      <c r="B286" s="28"/>
      <c r="C286" s="28"/>
      <c r="D286" s="28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x14ac:dyDescent="0.15">
      <c r="A287" s="28"/>
      <c r="B287" s="28"/>
      <c r="C287" s="28"/>
      <c r="D287" s="28"/>
      <c r="E287" s="29"/>
      <c r="F287" s="29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x14ac:dyDescent="0.15">
      <c r="A288" s="28"/>
      <c r="B288" s="28"/>
      <c r="C288" s="28"/>
      <c r="D288" s="28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x14ac:dyDescent="0.15">
      <c r="A289" s="28"/>
      <c r="B289" s="28"/>
      <c r="C289" s="28"/>
      <c r="D289" s="28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x14ac:dyDescent="0.15">
      <c r="A290" s="28"/>
      <c r="B290" s="28"/>
      <c r="C290" s="28"/>
      <c r="D290" s="28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x14ac:dyDescent="0.15">
      <c r="A291" s="28"/>
      <c r="B291" s="28"/>
      <c r="C291" s="28"/>
      <c r="D291" s="28"/>
      <c r="E291" s="29"/>
      <c r="F291" s="29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x14ac:dyDescent="0.15">
      <c r="A292" s="28"/>
      <c r="B292" s="28"/>
      <c r="C292" s="28"/>
      <c r="D292" s="28"/>
      <c r="E292" s="29"/>
      <c r="F292" s="29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x14ac:dyDescent="0.15">
      <c r="A293" s="28"/>
      <c r="B293" s="28"/>
      <c r="C293" s="28"/>
      <c r="D293" s="28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x14ac:dyDescent="0.15">
      <c r="A294" s="28"/>
      <c r="B294" s="28"/>
      <c r="C294" s="28"/>
      <c r="D294" s="28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x14ac:dyDescent="0.15">
      <c r="A295" s="28"/>
      <c r="B295" s="28"/>
      <c r="C295" s="28"/>
      <c r="D295" s="28"/>
      <c r="E295" s="29"/>
      <c r="F295" s="29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x14ac:dyDescent="0.15">
      <c r="A296" s="28"/>
      <c r="B296" s="28"/>
      <c r="C296" s="28"/>
      <c r="D296" s="28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x14ac:dyDescent="0.15">
      <c r="A297" s="28"/>
      <c r="B297" s="28"/>
      <c r="C297" s="28"/>
      <c r="D297" s="28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x14ac:dyDescent="0.15">
      <c r="A298" s="28"/>
      <c r="B298" s="28"/>
      <c r="C298" s="28"/>
      <c r="D298" s="28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x14ac:dyDescent="0.15">
      <c r="A299" s="28"/>
      <c r="B299" s="28"/>
      <c r="C299" s="28"/>
      <c r="D299" s="28"/>
      <c r="E299" s="29"/>
      <c r="F299" s="29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x14ac:dyDescent="0.15">
      <c r="A300" s="28"/>
      <c r="B300" s="28"/>
      <c r="C300" s="28"/>
      <c r="D300" s="28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x14ac:dyDescent="0.15">
      <c r="A301" s="28"/>
      <c r="B301" s="28"/>
      <c r="C301" s="28"/>
      <c r="D301" s="28"/>
      <c r="E301" s="29"/>
      <c r="F301" s="29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x14ac:dyDescent="0.15">
      <c r="A302" s="28"/>
      <c r="B302" s="28"/>
      <c r="C302" s="28"/>
      <c r="D302" s="28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x14ac:dyDescent="0.15">
      <c r="A303" s="28"/>
      <c r="B303" s="28"/>
      <c r="C303" s="28"/>
      <c r="D303" s="28"/>
      <c r="E303" s="29"/>
      <c r="F303" s="29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x14ac:dyDescent="0.15">
      <c r="A304" s="28"/>
      <c r="B304" s="28"/>
      <c r="C304" s="28"/>
      <c r="D304" s="28"/>
      <c r="E304" s="29"/>
      <c r="F304" s="29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x14ac:dyDescent="0.15">
      <c r="A305" s="28"/>
      <c r="B305" s="28"/>
      <c r="C305" s="28"/>
      <c r="D305" s="28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x14ac:dyDescent="0.15">
      <c r="A306" s="28"/>
      <c r="B306" s="28"/>
      <c r="C306" s="28"/>
      <c r="D306" s="28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x14ac:dyDescent="0.15">
      <c r="A307" s="28"/>
      <c r="B307" s="28"/>
      <c r="C307" s="28"/>
      <c r="D307" s="28"/>
      <c r="E307" s="29"/>
      <c r="F307" s="29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x14ac:dyDescent="0.15">
      <c r="A308" s="28"/>
      <c r="B308" s="28"/>
      <c r="C308" s="28"/>
      <c r="D308" s="28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x14ac:dyDescent="0.15">
      <c r="A309" s="28"/>
      <c r="B309" s="28"/>
      <c r="C309" s="28"/>
      <c r="D309" s="28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x14ac:dyDescent="0.15">
      <c r="A310" s="28"/>
      <c r="B310" s="28"/>
      <c r="C310" s="28"/>
      <c r="D310" s="28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x14ac:dyDescent="0.15">
      <c r="A311" s="28"/>
      <c r="B311" s="28"/>
      <c r="C311" s="28"/>
      <c r="D311" s="28"/>
      <c r="E311" s="29"/>
      <c r="F311" s="29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x14ac:dyDescent="0.15">
      <c r="A312" s="28"/>
      <c r="B312" s="28"/>
      <c r="C312" s="28"/>
      <c r="D312" s="28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x14ac:dyDescent="0.15">
      <c r="A313" s="28"/>
      <c r="B313" s="28"/>
      <c r="C313" s="28"/>
      <c r="D313" s="28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x14ac:dyDescent="0.15">
      <c r="A314" s="28"/>
      <c r="B314" s="28"/>
      <c r="C314" s="28"/>
      <c r="D314" s="28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x14ac:dyDescent="0.15">
      <c r="A315" s="28"/>
      <c r="B315" s="28"/>
      <c r="C315" s="28"/>
      <c r="D315" s="28"/>
      <c r="E315" s="29"/>
      <c r="F315" s="29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x14ac:dyDescent="0.15">
      <c r="A316" s="28"/>
      <c r="B316" s="28"/>
      <c r="C316" s="28"/>
      <c r="D316" s="28"/>
      <c r="E316" s="29"/>
      <c r="F316" s="29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x14ac:dyDescent="0.15">
      <c r="A317" s="28"/>
      <c r="B317" s="28"/>
      <c r="C317" s="28"/>
      <c r="D317" s="28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x14ac:dyDescent="0.15">
      <c r="A318" s="28"/>
      <c r="B318" s="28"/>
      <c r="C318" s="28"/>
      <c r="D318" s="28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x14ac:dyDescent="0.15">
      <c r="A319" s="28"/>
      <c r="B319" s="28"/>
      <c r="C319" s="28"/>
      <c r="D319" s="28"/>
      <c r="E319" s="29"/>
      <c r="F319" s="29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x14ac:dyDescent="0.15">
      <c r="A320" s="28"/>
      <c r="B320" s="28"/>
      <c r="C320" s="28"/>
      <c r="D320" s="28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x14ac:dyDescent="0.15">
      <c r="A724" s="28"/>
      <c r="B724" s="28"/>
      <c r="C724" s="28"/>
      <c r="D724" s="28"/>
      <c r="E724" s="29"/>
      <c r="F724" s="29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x14ac:dyDescent="0.15">
      <c r="A725" s="28"/>
      <c r="B725" s="28"/>
      <c r="C725" s="28"/>
      <c r="D725" s="28"/>
      <c r="E725" s="29"/>
      <c r="F725" s="29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x14ac:dyDescent="0.15">
      <c r="A726" s="28"/>
      <c r="B726" s="28"/>
      <c r="C726" s="28"/>
      <c r="D726" s="28"/>
      <c r="E726" s="29"/>
      <c r="F726" s="29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x14ac:dyDescent="0.15">
      <c r="A727" s="28"/>
      <c r="B727" s="28"/>
      <c r="C727" s="28"/>
      <c r="D727" s="28"/>
      <c r="E727" s="29"/>
      <c r="F727" s="29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x14ac:dyDescent="0.15">
      <c r="A728" s="28"/>
      <c r="B728" s="28"/>
      <c r="C728" s="28"/>
      <c r="D728" s="28"/>
      <c r="E728" s="29"/>
      <c r="F728" s="29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" x14ac:dyDescent="0.15">
      <c r="A729" s="28"/>
      <c r="B729" s="28"/>
      <c r="C729" s="28"/>
      <c r="D729" s="28"/>
      <c r="E729" s="29"/>
      <c r="F729" s="29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" x14ac:dyDescent="0.15">
      <c r="A730" s="28"/>
      <c r="B730" s="28"/>
      <c r="C730" s="28"/>
      <c r="D730" s="28"/>
      <c r="E730" s="29"/>
      <c r="F730" s="29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" x14ac:dyDescent="0.15">
      <c r="A731" s="28"/>
      <c r="B731" s="28"/>
      <c r="C731" s="28"/>
      <c r="D731" s="28"/>
      <c r="E731" s="29"/>
      <c r="F731" s="29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" x14ac:dyDescent="0.15">
      <c r="A732" s="28"/>
      <c r="B732" s="28"/>
      <c r="C732" s="28"/>
      <c r="D732" s="28"/>
      <c r="E732" s="29"/>
      <c r="F732" s="29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" x14ac:dyDescent="0.15">
      <c r="A733" s="28"/>
      <c r="B733" s="28"/>
      <c r="C733" s="28"/>
      <c r="D733" s="28"/>
      <c r="E733" s="29"/>
      <c r="F733" s="29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" x14ac:dyDescent="0.15">
      <c r="A734" s="28"/>
      <c r="B734" s="28"/>
      <c r="C734" s="28"/>
      <c r="D734" s="28"/>
      <c r="E734" s="29"/>
      <c r="F734" s="29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" x14ac:dyDescent="0.15">
      <c r="A735" s="28"/>
      <c r="B735" s="28"/>
      <c r="C735" s="28"/>
      <c r="D735" s="28"/>
      <c r="E735" s="29"/>
      <c r="F735" s="29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" x14ac:dyDescent="0.15">
      <c r="A736" s="28"/>
      <c r="B736" s="28"/>
      <c r="C736" s="28"/>
      <c r="D736" s="28"/>
      <c r="E736" s="29"/>
      <c r="F736" s="29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" x14ac:dyDescent="0.15">
      <c r="A737" s="28"/>
      <c r="B737" s="28"/>
      <c r="C737" s="28"/>
      <c r="D737" s="28"/>
      <c r="E737" s="29"/>
      <c r="F737" s="29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" x14ac:dyDescent="0.15">
      <c r="A738" s="28"/>
      <c r="B738" s="28"/>
      <c r="C738" s="28"/>
      <c r="D738" s="28"/>
      <c r="E738" s="29"/>
      <c r="F738" s="29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" x14ac:dyDescent="0.15">
      <c r="A739" s="28"/>
      <c r="B739" s="28"/>
      <c r="C739" s="28"/>
      <c r="D739" s="28"/>
      <c r="E739" s="29"/>
      <c r="F739" s="29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" x14ac:dyDescent="0.15">
      <c r="A740" s="28"/>
      <c r="B740" s="28"/>
      <c r="C740" s="28"/>
      <c r="D740" s="28"/>
      <c r="E740" s="29"/>
      <c r="F740" s="29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" x14ac:dyDescent="0.15">
      <c r="A741" s="28"/>
      <c r="B741" s="28"/>
      <c r="C741" s="28"/>
      <c r="D741" s="28"/>
      <c r="E741" s="29"/>
      <c r="F741" s="29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" x14ac:dyDescent="0.15">
      <c r="A742" s="28"/>
      <c r="B742" s="28"/>
      <c r="C742" s="28"/>
      <c r="D742" s="28"/>
      <c r="E742" s="29"/>
      <c r="F742" s="29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" x14ac:dyDescent="0.15">
      <c r="A743" s="28"/>
      <c r="B743" s="28"/>
      <c r="C743" s="28"/>
      <c r="D743" s="28"/>
      <c r="E743" s="29"/>
      <c r="F743" s="29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" x14ac:dyDescent="0.15">
      <c r="A744" s="28"/>
      <c r="B744" s="28"/>
      <c r="C744" s="28"/>
      <c r="D744" s="28"/>
      <c r="E744" s="29"/>
      <c r="F744" s="29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" x14ac:dyDescent="0.15">
      <c r="A745" s="28"/>
      <c r="B745" s="28"/>
      <c r="C745" s="28"/>
      <c r="D745" s="28"/>
      <c r="E745" s="29"/>
      <c r="F745" s="29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" x14ac:dyDescent="0.15">
      <c r="A746" s="28"/>
      <c r="B746" s="28"/>
      <c r="C746" s="28"/>
      <c r="D746" s="28"/>
      <c r="E746" s="29"/>
      <c r="F746" s="29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" x14ac:dyDescent="0.15">
      <c r="A747" s="28"/>
      <c r="B747" s="28"/>
      <c r="C747" s="28"/>
      <c r="D747" s="28"/>
      <c r="E747" s="29"/>
      <c r="F747" s="29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" x14ac:dyDescent="0.15">
      <c r="A748" s="28"/>
      <c r="B748" s="28"/>
      <c r="C748" s="28"/>
      <c r="D748" s="28"/>
      <c r="E748" s="29"/>
      <c r="F748" s="29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" x14ac:dyDescent="0.15">
      <c r="A749" s="28"/>
      <c r="B749" s="28"/>
      <c r="C749" s="28"/>
      <c r="D749" s="28"/>
      <c r="E749" s="29"/>
      <c r="F749" s="29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" x14ac:dyDescent="0.15">
      <c r="A750" s="28"/>
      <c r="B750" s="28"/>
      <c r="C750" s="28"/>
      <c r="D750" s="28"/>
      <c r="E750" s="29"/>
      <c r="F750" s="29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" x14ac:dyDescent="0.15">
      <c r="A751" s="28"/>
      <c r="B751" s="28"/>
      <c r="C751" s="28"/>
      <c r="D751" s="28"/>
      <c r="E751" s="29"/>
      <c r="F751" s="29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" x14ac:dyDescent="0.15">
      <c r="A752" s="28"/>
      <c r="B752" s="28"/>
      <c r="C752" s="28"/>
      <c r="D752" s="28"/>
      <c r="E752" s="29"/>
      <c r="F752" s="29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" x14ac:dyDescent="0.15">
      <c r="A753" s="28"/>
      <c r="B753" s="28"/>
      <c r="C753" s="28"/>
      <c r="D753" s="28"/>
      <c r="E753" s="29"/>
      <c r="F753" s="29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" x14ac:dyDescent="0.15">
      <c r="A754" s="28"/>
      <c r="B754" s="28"/>
      <c r="C754" s="28"/>
      <c r="D754" s="28"/>
      <c r="E754" s="29"/>
      <c r="F754" s="29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" x14ac:dyDescent="0.15">
      <c r="A755" s="28"/>
      <c r="B755" s="28"/>
      <c r="C755" s="28"/>
      <c r="D755" s="28"/>
      <c r="E755" s="29"/>
      <c r="F755" s="29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" x14ac:dyDescent="0.15">
      <c r="A756" s="28"/>
      <c r="B756" s="28"/>
      <c r="C756" s="28"/>
      <c r="D756" s="28"/>
      <c r="E756" s="29"/>
      <c r="F756" s="29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" x14ac:dyDescent="0.15">
      <c r="A757" s="28"/>
      <c r="B757" s="28"/>
      <c r="C757" s="28"/>
      <c r="D757" s="28"/>
      <c r="E757" s="29"/>
      <c r="F757" s="29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" x14ac:dyDescent="0.15">
      <c r="A758" s="28"/>
      <c r="B758" s="28"/>
      <c r="C758" s="28"/>
      <c r="D758" s="28"/>
      <c r="E758" s="29"/>
      <c r="F758" s="29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" x14ac:dyDescent="0.15">
      <c r="A759" s="28"/>
      <c r="B759" s="28"/>
      <c r="C759" s="28"/>
      <c r="D759" s="28"/>
      <c r="E759" s="29"/>
      <c r="F759" s="29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" x14ac:dyDescent="0.15">
      <c r="A760" s="28"/>
      <c r="B760" s="28"/>
      <c r="C760" s="28"/>
      <c r="D760" s="28"/>
      <c r="E760" s="29"/>
      <c r="F760" s="29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" x14ac:dyDescent="0.15">
      <c r="A761" s="28"/>
      <c r="B761" s="28"/>
      <c r="C761" s="28"/>
      <c r="D761" s="28"/>
      <c r="E761" s="29"/>
      <c r="F761" s="29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" x14ac:dyDescent="0.15">
      <c r="A762" s="28"/>
      <c r="B762" s="28"/>
      <c r="C762" s="28"/>
      <c r="D762" s="28"/>
      <c r="E762" s="29"/>
      <c r="F762" s="29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" x14ac:dyDescent="0.15">
      <c r="A763" s="28"/>
      <c r="B763" s="28"/>
      <c r="C763" s="28"/>
      <c r="D763" s="28"/>
      <c r="E763" s="29"/>
      <c r="F763" s="29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" x14ac:dyDescent="0.15">
      <c r="A764" s="28"/>
      <c r="B764" s="28"/>
      <c r="C764" s="28"/>
      <c r="D764" s="28"/>
      <c r="E764" s="29"/>
      <c r="F764" s="29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" x14ac:dyDescent="0.15">
      <c r="A765" s="28"/>
      <c r="B765" s="28"/>
      <c r="C765" s="28"/>
      <c r="D765" s="28"/>
      <c r="E765" s="29"/>
      <c r="F765" s="29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" x14ac:dyDescent="0.15">
      <c r="A766" s="28"/>
      <c r="B766" s="28"/>
      <c r="C766" s="28"/>
      <c r="D766" s="28"/>
      <c r="E766" s="29"/>
      <c r="F766" s="29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" x14ac:dyDescent="0.15">
      <c r="A767" s="28"/>
      <c r="B767" s="28"/>
      <c r="C767" s="28"/>
      <c r="D767" s="28"/>
      <c r="E767" s="29"/>
      <c r="F767" s="29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" x14ac:dyDescent="0.15">
      <c r="A768" s="28"/>
      <c r="B768" s="28"/>
      <c r="C768" s="28"/>
      <c r="D768" s="28"/>
      <c r="E768" s="29"/>
      <c r="F768" s="29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" x14ac:dyDescent="0.15">
      <c r="A769" s="28"/>
      <c r="B769" s="28"/>
      <c r="C769" s="28"/>
      <c r="D769" s="28"/>
      <c r="E769" s="29"/>
      <c r="F769" s="29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" x14ac:dyDescent="0.15">
      <c r="A770" s="28"/>
      <c r="B770" s="28"/>
      <c r="C770" s="28"/>
      <c r="D770" s="28"/>
      <c r="E770" s="29"/>
      <c r="F770" s="29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" x14ac:dyDescent="0.15">
      <c r="A771" s="28"/>
      <c r="B771" s="28"/>
      <c r="C771" s="28"/>
      <c r="D771" s="28"/>
      <c r="E771" s="29"/>
      <c r="F771" s="29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" x14ac:dyDescent="0.15">
      <c r="A772" s="28"/>
      <c r="B772" s="28"/>
      <c r="C772" s="28"/>
      <c r="D772" s="28"/>
      <c r="E772" s="29"/>
      <c r="F772" s="29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" x14ac:dyDescent="0.15">
      <c r="A773" s="28"/>
      <c r="B773" s="28"/>
      <c r="C773" s="28"/>
      <c r="D773" s="28"/>
      <c r="E773" s="29"/>
      <c r="F773" s="29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" x14ac:dyDescent="0.15">
      <c r="A774" s="28"/>
      <c r="B774" s="28"/>
      <c r="C774" s="28"/>
      <c r="D774" s="28"/>
      <c r="E774" s="29"/>
      <c r="F774" s="29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" x14ac:dyDescent="0.15">
      <c r="A775" s="28"/>
      <c r="B775" s="28"/>
      <c r="C775" s="28"/>
      <c r="D775" s="28"/>
      <c r="E775" s="29"/>
      <c r="F775" s="29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" x14ac:dyDescent="0.15">
      <c r="A776" s="28"/>
      <c r="B776" s="28"/>
      <c r="C776" s="28"/>
      <c r="D776" s="28"/>
      <c r="E776" s="29"/>
      <c r="F776" s="29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" x14ac:dyDescent="0.15">
      <c r="A777" s="28"/>
      <c r="B777" s="28"/>
      <c r="C777" s="28"/>
      <c r="D777" s="28"/>
      <c r="E777" s="29"/>
      <c r="F777" s="29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" x14ac:dyDescent="0.15">
      <c r="A778" s="28"/>
      <c r="B778" s="28"/>
      <c r="C778" s="28"/>
      <c r="D778" s="28"/>
      <c r="E778" s="29"/>
      <c r="F778" s="29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" x14ac:dyDescent="0.15">
      <c r="A779" s="28"/>
      <c r="B779" s="28"/>
      <c r="C779" s="28"/>
      <c r="D779" s="28"/>
      <c r="E779" s="29"/>
      <c r="F779" s="29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" x14ac:dyDescent="0.15">
      <c r="A780" s="28"/>
      <c r="B780" s="28"/>
      <c r="C780" s="28"/>
      <c r="D780" s="28"/>
      <c r="E780" s="29"/>
      <c r="F780" s="29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" x14ac:dyDescent="0.15">
      <c r="A781" s="28"/>
      <c r="B781" s="28"/>
      <c r="C781" s="28"/>
      <c r="D781" s="28"/>
      <c r="E781" s="29"/>
      <c r="F781" s="29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" x14ac:dyDescent="0.15">
      <c r="A782" s="28"/>
      <c r="B782" s="28"/>
      <c r="C782" s="28"/>
      <c r="D782" s="28"/>
      <c r="E782" s="29"/>
      <c r="F782" s="29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" x14ac:dyDescent="0.15">
      <c r="A783" s="28"/>
      <c r="B783" s="28"/>
      <c r="C783" s="28"/>
      <c r="D783" s="28"/>
      <c r="E783" s="29"/>
      <c r="F783" s="29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" x14ac:dyDescent="0.15">
      <c r="A784" s="28"/>
      <c r="B784" s="28"/>
      <c r="C784" s="28"/>
      <c r="D784" s="28"/>
      <c r="E784" s="29"/>
      <c r="F784" s="29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" x14ac:dyDescent="0.15">
      <c r="A785" s="28"/>
      <c r="B785" s="28"/>
      <c r="C785" s="28"/>
      <c r="D785" s="28"/>
      <c r="E785" s="29"/>
      <c r="F785" s="29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" x14ac:dyDescent="0.15">
      <c r="A786" s="28"/>
      <c r="B786" s="28"/>
      <c r="C786" s="28"/>
      <c r="D786" s="28"/>
      <c r="E786" s="29"/>
      <c r="F786" s="29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" x14ac:dyDescent="0.15">
      <c r="A787" s="28"/>
      <c r="B787" s="28"/>
      <c r="C787" s="28"/>
      <c r="D787" s="28"/>
      <c r="E787" s="29"/>
      <c r="F787" s="29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" x14ac:dyDescent="0.15">
      <c r="A788" s="28"/>
      <c r="B788" s="28"/>
      <c r="C788" s="28"/>
      <c r="D788" s="28"/>
      <c r="E788" s="29"/>
      <c r="F788" s="29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" x14ac:dyDescent="0.15">
      <c r="A789" s="28"/>
      <c r="B789" s="28"/>
      <c r="C789" s="28"/>
      <c r="D789" s="28"/>
      <c r="E789" s="29"/>
      <c r="F789" s="29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" x14ac:dyDescent="0.15">
      <c r="A790" s="28"/>
      <c r="B790" s="28"/>
      <c r="C790" s="28"/>
      <c r="D790" s="28"/>
      <c r="E790" s="29"/>
      <c r="F790" s="29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" x14ac:dyDescent="0.15">
      <c r="A791" s="28"/>
      <c r="B791" s="28"/>
      <c r="C791" s="28"/>
      <c r="D791" s="28"/>
      <c r="E791" s="29"/>
      <c r="F791" s="29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" x14ac:dyDescent="0.15">
      <c r="A792" s="28"/>
      <c r="B792" s="28"/>
      <c r="C792" s="28"/>
      <c r="D792" s="28"/>
      <c r="E792" s="29"/>
      <c r="F792" s="29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" x14ac:dyDescent="0.15">
      <c r="A793" s="28"/>
      <c r="B793" s="28"/>
      <c r="C793" s="28"/>
      <c r="D793" s="28"/>
      <c r="E793" s="29"/>
      <c r="F793" s="29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" x14ac:dyDescent="0.15">
      <c r="A794" s="28"/>
      <c r="B794" s="28"/>
      <c r="C794" s="28"/>
      <c r="D794" s="28"/>
      <c r="E794" s="29"/>
      <c r="F794" s="29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" x14ac:dyDescent="0.15">
      <c r="A795" s="28"/>
      <c r="B795" s="28"/>
      <c r="C795" s="28"/>
      <c r="D795" s="28"/>
      <c r="E795" s="29"/>
      <c r="F795" s="29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" x14ac:dyDescent="0.15">
      <c r="A796" s="28"/>
      <c r="B796" s="28"/>
      <c r="C796" s="28"/>
      <c r="D796" s="28"/>
      <c r="E796" s="29"/>
      <c r="F796" s="29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" x14ac:dyDescent="0.15">
      <c r="A797" s="28"/>
      <c r="B797" s="28"/>
      <c r="C797" s="28"/>
      <c r="D797" s="28"/>
      <c r="E797" s="29"/>
      <c r="F797" s="29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" x14ac:dyDescent="0.15">
      <c r="A798" s="28"/>
      <c r="B798" s="28"/>
      <c r="C798" s="28"/>
      <c r="D798" s="28"/>
      <c r="E798" s="29"/>
      <c r="F798" s="29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" x14ac:dyDescent="0.15">
      <c r="A799" s="28"/>
      <c r="B799" s="28"/>
      <c r="C799" s="28"/>
      <c r="D799" s="28"/>
      <c r="E799" s="29"/>
      <c r="F799" s="29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" x14ac:dyDescent="0.15">
      <c r="A800" s="28"/>
      <c r="B800" s="28"/>
      <c r="C800" s="28"/>
      <c r="D800" s="28"/>
      <c r="E800" s="29"/>
      <c r="F800" s="29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" x14ac:dyDescent="0.15">
      <c r="A801" s="28"/>
      <c r="B801" s="28"/>
      <c r="C801" s="28"/>
      <c r="D801" s="28"/>
      <c r="E801" s="29"/>
      <c r="F801" s="29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" x14ac:dyDescent="0.15">
      <c r="A802" s="28"/>
      <c r="B802" s="28"/>
      <c r="C802" s="28"/>
      <c r="D802" s="28"/>
      <c r="E802" s="29"/>
      <c r="F802" s="29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" x14ac:dyDescent="0.15">
      <c r="A803" s="28"/>
      <c r="B803" s="28"/>
      <c r="C803" s="28"/>
      <c r="D803" s="28"/>
      <c r="E803" s="29"/>
      <c r="F803" s="29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" x14ac:dyDescent="0.15">
      <c r="A804" s="28"/>
      <c r="B804" s="28"/>
      <c r="C804" s="28"/>
      <c r="D804" s="28"/>
      <c r="E804" s="29"/>
      <c r="F804" s="29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" x14ac:dyDescent="0.15">
      <c r="A805" s="28"/>
      <c r="B805" s="28"/>
      <c r="C805" s="28"/>
      <c r="D805" s="28"/>
      <c r="E805" s="29"/>
      <c r="F805" s="29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" x14ac:dyDescent="0.15">
      <c r="A806" s="28"/>
      <c r="B806" s="28"/>
      <c r="C806" s="28"/>
      <c r="D806" s="28"/>
      <c r="E806" s="29"/>
      <c r="F806" s="29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" x14ac:dyDescent="0.15">
      <c r="A807" s="28"/>
      <c r="B807" s="28"/>
      <c r="C807" s="28"/>
      <c r="D807" s="28"/>
      <c r="E807" s="29"/>
      <c r="F807" s="29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" x14ac:dyDescent="0.15">
      <c r="A808" s="28"/>
      <c r="B808" s="28"/>
      <c r="C808" s="28"/>
      <c r="D808" s="28"/>
      <c r="E808" s="29"/>
      <c r="F808" s="29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" x14ac:dyDescent="0.15">
      <c r="A809" s="28"/>
      <c r="B809" s="28"/>
      <c r="C809" s="28"/>
      <c r="D809" s="28"/>
      <c r="E809" s="29"/>
      <c r="F809" s="29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" x14ac:dyDescent="0.15">
      <c r="A810" s="28"/>
      <c r="B810" s="28"/>
      <c r="C810" s="28"/>
      <c r="D810" s="28"/>
      <c r="E810" s="29"/>
      <c r="F810" s="29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" x14ac:dyDescent="0.15">
      <c r="A811" s="28"/>
      <c r="B811" s="28"/>
      <c r="C811" s="28"/>
      <c r="D811" s="28"/>
      <c r="E811" s="29"/>
      <c r="F811" s="29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" x14ac:dyDescent="0.15">
      <c r="A812" s="28"/>
      <c r="B812" s="28"/>
      <c r="C812" s="28"/>
      <c r="D812" s="28"/>
      <c r="E812" s="29"/>
      <c r="F812" s="29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" x14ac:dyDescent="0.15">
      <c r="A813" s="28"/>
      <c r="B813" s="28"/>
      <c r="C813" s="28"/>
      <c r="D813" s="28"/>
      <c r="E813" s="29"/>
      <c r="F813" s="29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" x14ac:dyDescent="0.15">
      <c r="A814" s="28"/>
      <c r="B814" s="28"/>
      <c r="C814" s="28"/>
      <c r="D814" s="28"/>
      <c r="E814" s="29"/>
      <c r="F814" s="29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" x14ac:dyDescent="0.15">
      <c r="A815" s="28"/>
      <c r="B815" s="28"/>
      <c r="C815" s="28"/>
      <c r="D815" s="28"/>
      <c r="E815" s="29"/>
      <c r="F815" s="29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" x14ac:dyDescent="0.15">
      <c r="A816" s="28"/>
      <c r="B816" s="28"/>
      <c r="C816" s="28"/>
      <c r="D816" s="28"/>
      <c r="E816" s="29"/>
      <c r="F816" s="29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" x14ac:dyDescent="0.15">
      <c r="A817" s="28"/>
      <c r="B817" s="28"/>
      <c r="C817" s="28"/>
      <c r="D817" s="28"/>
      <c r="E817" s="29"/>
      <c r="F817" s="29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" x14ac:dyDescent="0.15">
      <c r="A818" s="28"/>
      <c r="B818" s="28"/>
      <c r="C818" s="28"/>
      <c r="D818" s="28"/>
      <c r="E818" s="29"/>
      <c r="F818" s="29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" x14ac:dyDescent="0.15">
      <c r="A819" s="28"/>
      <c r="B819" s="28"/>
      <c r="C819" s="28"/>
      <c r="D819" s="28"/>
      <c r="E819" s="29"/>
      <c r="F819" s="29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" x14ac:dyDescent="0.15">
      <c r="A820" s="28"/>
      <c r="B820" s="28"/>
      <c r="C820" s="28"/>
      <c r="D820" s="28"/>
      <c r="E820" s="29"/>
      <c r="F820" s="29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" x14ac:dyDescent="0.15">
      <c r="A821" s="28"/>
      <c r="B821" s="28"/>
      <c r="C821" s="28"/>
      <c r="D821" s="28"/>
      <c r="E821" s="29"/>
      <c r="F821" s="29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" x14ac:dyDescent="0.15">
      <c r="A822" s="28"/>
      <c r="B822" s="28"/>
      <c r="C822" s="28"/>
      <c r="D822" s="28"/>
      <c r="E822" s="29"/>
      <c r="F822" s="29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" x14ac:dyDescent="0.15">
      <c r="A823" s="28"/>
      <c r="B823" s="28"/>
      <c r="C823" s="28"/>
      <c r="D823" s="28"/>
      <c r="E823" s="29"/>
      <c r="F823" s="29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" x14ac:dyDescent="0.15">
      <c r="A824" s="28"/>
      <c r="B824" s="28"/>
      <c r="C824" s="28"/>
      <c r="D824" s="28"/>
      <c r="E824" s="29"/>
      <c r="F824" s="29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" x14ac:dyDescent="0.15">
      <c r="A825" s="28"/>
      <c r="B825" s="28"/>
      <c r="C825" s="28"/>
      <c r="D825" s="28"/>
      <c r="E825" s="29"/>
      <c r="F825" s="29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" x14ac:dyDescent="0.15">
      <c r="A826" s="28"/>
      <c r="B826" s="28"/>
      <c r="C826" s="28"/>
      <c r="D826" s="28"/>
      <c r="E826" s="29"/>
      <c r="F826" s="29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" x14ac:dyDescent="0.15">
      <c r="A827" s="28"/>
      <c r="B827" s="28"/>
      <c r="C827" s="28"/>
      <c r="D827" s="28"/>
      <c r="E827" s="29"/>
      <c r="F827" s="29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" x14ac:dyDescent="0.15">
      <c r="A828" s="28"/>
      <c r="B828" s="28"/>
      <c r="C828" s="28"/>
      <c r="D828" s="28"/>
      <c r="E828" s="29"/>
      <c r="F828" s="29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" x14ac:dyDescent="0.15">
      <c r="A829" s="28"/>
      <c r="B829" s="28"/>
      <c r="C829" s="28"/>
      <c r="D829" s="28"/>
      <c r="E829" s="29"/>
      <c r="F829" s="29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" x14ac:dyDescent="0.15">
      <c r="A830" s="28"/>
      <c r="B830" s="28"/>
      <c r="C830" s="28"/>
      <c r="D830" s="28"/>
      <c r="E830" s="29"/>
      <c r="F830" s="29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" x14ac:dyDescent="0.15">
      <c r="A831" s="28"/>
      <c r="B831" s="28"/>
      <c r="C831" s="28"/>
      <c r="D831" s="28"/>
      <c r="E831" s="29"/>
      <c r="F831" s="29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" x14ac:dyDescent="0.15">
      <c r="A832" s="28"/>
      <c r="B832" s="28"/>
      <c r="C832" s="28"/>
      <c r="D832" s="28"/>
      <c r="E832" s="29"/>
      <c r="F832" s="29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" x14ac:dyDescent="0.15">
      <c r="A833" s="28"/>
      <c r="B833" s="28"/>
      <c r="C833" s="28"/>
      <c r="D833" s="28"/>
      <c r="E833" s="29"/>
      <c r="F833" s="29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" x14ac:dyDescent="0.15">
      <c r="A834" s="28"/>
      <c r="B834" s="28"/>
      <c r="C834" s="28"/>
      <c r="D834" s="28"/>
      <c r="E834" s="29"/>
      <c r="F834" s="29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" x14ac:dyDescent="0.15">
      <c r="A835" s="28"/>
      <c r="B835" s="28"/>
      <c r="C835" s="28"/>
      <c r="D835" s="28"/>
      <c r="E835" s="29"/>
      <c r="F835" s="29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" x14ac:dyDescent="0.15">
      <c r="A836" s="28"/>
      <c r="B836" s="28"/>
      <c r="C836" s="28"/>
      <c r="D836" s="28"/>
      <c r="E836" s="29"/>
      <c r="F836" s="29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" x14ac:dyDescent="0.15">
      <c r="A837" s="28"/>
      <c r="B837" s="28"/>
      <c r="C837" s="28"/>
      <c r="D837" s="28"/>
      <c r="E837" s="29"/>
      <c r="F837" s="29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" x14ac:dyDescent="0.15">
      <c r="A838" s="28"/>
      <c r="B838" s="28"/>
      <c r="C838" s="28"/>
      <c r="D838" s="28"/>
      <c r="E838" s="29"/>
      <c r="F838" s="29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" x14ac:dyDescent="0.15">
      <c r="A839" s="28"/>
      <c r="B839" s="28"/>
      <c r="C839" s="28"/>
      <c r="D839" s="28"/>
      <c r="E839" s="29"/>
      <c r="F839" s="29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" x14ac:dyDescent="0.15">
      <c r="A840" s="28"/>
      <c r="B840" s="28"/>
      <c r="C840" s="28"/>
      <c r="D840" s="28"/>
      <c r="E840" s="29"/>
      <c r="F840" s="29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" x14ac:dyDescent="0.15">
      <c r="A841" s="28"/>
      <c r="B841" s="28"/>
      <c r="C841" s="28"/>
      <c r="D841" s="28"/>
      <c r="E841" s="29"/>
      <c r="F841" s="29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" x14ac:dyDescent="0.15">
      <c r="A842" s="28"/>
      <c r="B842" s="28"/>
      <c r="C842" s="28"/>
      <c r="D842" s="28"/>
      <c r="E842" s="29"/>
      <c r="F842" s="29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</sheetData>
  <conditionalFormatting sqref="E2:G842">
    <cfRule type="cellIs" dxfId="80" priority="1" operator="greaterThan">
      <formula>0</formula>
    </cfRule>
    <cfRule type="cellIs" dxfId="79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720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27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300</v>
      </c>
      <c r="D4" s="1">
        <v>6110</v>
      </c>
      <c r="E4" s="10">
        <v>0</v>
      </c>
      <c r="F4" s="10">
        <v>-1000</v>
      </c>
      <c r="G4" s="10"/>
      <c r="H4" s="30"/>
      <c r="I4" s="30"/>
      <c r="J4" s="30"/>
    </row>
    <row r="5" spans="1:10" ht="15" x14ac:dyDescent="0.2">
      <c r="A5" s="1"/>
      <c r="B5" s="1"/>
      <c r="C5" s="1"/>
      <c r="D5" s="1"/>
      <c r="E5" s="10"/>
      <c r="F5" s="10"/>
      <c r="G5" s="10"/>
      <c r="H5" s="30"/>
      <c r="I5" s="30"/>
      <c r="J5" s="30"/>
    </row>
    <row r="6" spans="1:10" ht="15" x14ac:dyDescent="0.2">
      <c r="A6" s="1"/>
      <c r="B6" s="1"/>
      <c r="C6" s="25" t="s">
        <v>80</v>
      </c>
      <c r="D6" s="1"/>
      <c r="E6" s="10">
        <f t="shared" ref="E6:F6" si="0">SUM(E4)</f>
        <v>0</v>
      </c>
      <c r="F6" s="10">
        <f t="shared" si="0"/>
        <v>-1000</v>
      </c>
      <c r="G6" s="10">
        <f>E6+F6</f>
        <v>-1000</v>
      </c>
      <c r="H6" s="30"/>
      <c r="I6" s="30"/>
      <c r="J6" s="30"/>
    </row>
    <row r="7" spans="1:10" ht="15" x14ac:dyDescent="0.2">
      <c r="A7" s="1"/>
      <c r="B7" s="1"/>
      <c r="C7" s="1"/>
      <c r="D7" s="1"/>
      <c r="E7" s="10"/>
      <c r="F7" s="10"/>
      <c r="G7" s="10"/>
      <c r="H7" s="30"/>
      <c r="I7" s="30"/>
      <c r="J7" s="30"/>
    </row>
    <row r="8" spans="1:10" ht="15" x14ac:dyDescent="0.2">
      <c r="A8" s="1"/>
      <c r="B8" s="25" t="s">
        <v>81</v>
      </c>
      <c r="H8" s="30"/>
      <c r="I8" s="30"/>
      <c r="J8" s="30"/>
    </row>
    <row r="9" spans="1:10" ht="15" x14ac:dyDescent="0.2">
      <c r="A9" s="1"/>
      <c r="B9" s="1"/>
      <c r="C9" s="1" t="s">
        <v>83</v>
      </c>
      <c r="D9" s="1">
        <v>7691</v>
      </c>
      <c r="E9" s="10">
        <v>0</v>
      </c>
      <c r="F9" s="10">
        <v>-1983</v>
      </c>
      <c r="G9" s="10"/>
      <c r="H9" s="30"/>
      <c r="I9" s="30"/>
      <c r="J9" s="30"/>
    </row>
    <row r="10" spans="1:10" ht="15" x14ac:dyDescent="0.2">
      <c r="A10" s="1"/>
      <c r="B10" s="1"/>
      <c r="C10" s="25"/>
      <c r="D10" s="1"/>
      <c r="E10" s="10"/>
      <c r="F10" s="10"/>
      <c r="G10" s="10"/>
      <c r="H10" s="30"/>
      <c r="I10" s="30"/>
      <c r="J10" s="30"/>
    </row>
    <row r="11" spans="1:10" ht="15" x14ac:dyDescent="0.2">
      <c r="A11" s="1"/>
      <c r="B11" s="1"/>
      <c r="C11" s="25" t="s">
        <v>80</v>
      </c>
      <c r="D11" s="1"/>
      <c r="E11" s="10">
        <f t="shared" ref="E11:F11" si="1">SUM(E9)</f>
        <v>0</v>
      </c>
      <c r="F11" s="10">
        <f t="shared" si="1"/>
        <v>-1983</v>
      </c>
      <c r="G11" s="10">
        <f>E11+F11</f>
        <v>-1983</v>
      </c>
      <c r="H11" s="30"/>
      <c r="I11" s="30"/>
      <c r="J11" s="30"/>
    </row>
    <row r="12" spans="1:10" ht="15" x14ac:dyDescent="0.2">
      <c r="A12" s="1"/>
      <c r="B12" s="25"/>
      <c r="C12" s="1"/>
      <c r="D12" s="1"/>
      <c r="E12" s="10"/>
      <c r="F12" s="10"/>
      <c r="G12" s="10"/>
      <c r="H12" s="30"/>
      <c r="I12" s="30"/>
      <c r="J12" s="30"/>
    </row>
    <row r="13" spans="1:10" ht="15" x14ac:dyDescent="0.2">
      <c r="A13" s="1"/>
      <c r="B13" s="25" t="s">
        <v>301</v>
      </c>
      <c r="C13" s="1"/>
      <c r="D13" s="1"/>
      <c r="E13" s="10"/>
      <c r="F13" s="10"/>
      <c r="G13" s="10"/>
      <c r="H13" s="30"/>
      <c r="I13" s="30"/>
      <c r="J13" s="30"/>
    </row>
    <row r="14" spans="1:10" ht="15" x14ac:dyDescent="0.2">
      <c r="A14" s="1"/>
      <c r="B14" s="1"/>
      <c r="C14" s="1" t="s">
        <v>172</v>
      </c>
      <c r="D14" s="1">
        <v>4029</v>
      </c>
      <c r="E14" s="10">
        <v>0</v>
      </c>
      <c r="F14" s="10">
        <v>-1750</v>
      </c>
      <c r="G14" s="10"/>
      <c r="H14" s="30"/>
      <c r="I14" s="30"/>
      <c r="J14" s="30"/>
    </row>
    <row r="15" spans="1:10" ht="15" x14ac:dyDescent="0.2">
      <c r="A15" s="1"/>
      <c r="B15" s="1"/>
      <c r="C15" s="1" t="s">
        <v>302</v>
      </c>
      <c r="D15" s="1">
        <v>4021</v>
      </c>
      <c r="E15" s="10">
        <v>0</v>
      </c>
      <c r="F15" s="10">
        <v>-250</v>
      </c>
      <c r="G15" s="10"/>
      <c r="H15" s="30"/>
      <c r="I15" s="30"/>
      <c r="J15" s="30"/>
    </row>
    <row r="16" spans="1:10" ht="15" x14ac:dyDescent="0.2">
      <c r="A16" s="1"/>
      <c r="B16" s="1"/>
      <c r="C16" s="1"/>
      <c r="D16" s="1"/>
      <c r="E16" s="10"/>
      <c r="F16" s="10"/>
      <c r="G16" s="10"/>
      <c r="H16" s="30"/>
      <c r="I16" s="30"/>
      <c r="J16" s="30"/>
    </row>
    <row r="17" spans="1:10" ht="15" x14ac:dyDescent="0.2">
      <c r="A17" s="1"/>
      <c r="B17" s="1"/>
      <c r="C17" s="25" t="s">
        <v>80</v>
      </c>
      <c r="D17" s="1"/>
      <c r="E17" s="10">
        <f t="shared" ref="E17:F17" si="2">SUM(E14:E15)</f>
        <v>0</v>
      </c>
      <c r="F17" s="10">
        <f t="shared" si="2"/>
        <v>-2000</v>
      </c>
      <c r="G17" s="10">
        <f>E17+F17</f>
        <v>-2000</v>
      </c>
      <c r="H17" s="30"/>
      <c r="I17" s="30"/>
      <c r="J17" s="30"/>
    </row>
    <row r="18" spans="1:10" ht="15" x14ac:dyDescent="0.2">
      <c r="A18" s="1"/>
      <c r="B18" s="1"/>
      <c r="C18" s="1"/>
      <c r="D18" s="1"/>
      <c r="E18" s="10"/>
      <c r="F18" s="10"/>
      <c r="G18" s="10"/>
      <c r="H18" s="30"/>
      <c r="I18" s="30"/>
      <c r="J18" s="30"/>
    </row>
    <row r="19" spans="1:10" ht="14" x14ac:dyDescent="0.2">
      <c r="C19" s="25" t="s">
        <v>102</v>
      </c>
      <c r="D19" s="1"/>
      <c r="E19" s="8">
        <f t="shared" ref="E19:F19" si="3">SUMIFS(E2:E18,$C2:$C18,"Subsubtotal")</f>
        <v>0</v>
      </c>
      <c r="F19" s="31">
        <f t="shared" si="3"/>
        <v>-4983</v>
      </c>
      <c r="G19" s="10">
        <f>SUM(G2:G18)</f>
        <v>-4983</v>
      </c>
    </row>
    <row r="20" spans="1:10" ht="15.75" customHeight="1" x14ac:dyDescent="0.15">
      <c r="E20" s="33"/>
      <c r="F20" s="33"/>
      <c r="G20" s="33"/>
    </row>
    <row r="21" spans="1:10" ht="15.75" customHeight="1" x14ac:dyDescent="0.15">
      <c r="E21" s="33"/>
      <c r="F21" s="33"/>
      <c r="G21" s="33"/>
    </row>
    <row r="22" spans="1:10" ht="14" x14ac:dyDescent="0.2">
      <c r="E22" s="10"/>
      <c r="F22" s="10"/>
      <c r="G22" s="10"/>
    </row>
    <row r="23" spans="1:10" ht="14" x14ac:dyDescent="0.2">
      <c r="E23" s="10"/>
      <c r="F23" s="10"/>
      <c r="G23" s="10"/>
    </row>
    <row r="24" spans="1:10" ht="14" x14ac:dyDescent="0.2">
      <c r="E24" s="10"/>
      <c r="F24" s="10"/>
      <c r="G24" s="10"/>
    </row>
    <row r="25" spans="1:10" ht="14" x14ac:dyDescent="0.2">
      <c r="E25" s="10"/>
      <c r="F25" s="10"/>
      <c r="G25" s="10"/>
    </row>
    <row r="26" spans="1:10" ht="14" x14ac:dyDescent="0.2">
      <c r="E26" s="10"/>
      <c r="F26" s="10"/>
      <c r="G26" s="10"/>
    </row>
    <row r="27" spans="1:10" ht="14" x14ac:dyDescent="0.2">
      <c r="E27" s="10"/>
      <c r="F27" s="10"/>
      <c r="G27" s="10"/>
    </row>
    <row r="28" spans="1:10" ht="14" x14ac:dyDescent="0.2">
      <c r="E28" s="10"/>
      <c r="F28" s="10"/>
      <c r="G28" s="10"/>
    </row>
    <row r="29" spans="1:10" ht="14" x14ac:dyDescent="0.2">
      <c r="E29" s="10"/>
      <c r="F29" s="10"/>
      <c r="G29" s="10"/>
    </row>
    <row r="30" spans="1:10" ht="14" x14ac:dyDescent="0.2">
      <c r="E30" s="10"/>
      <c r="F30" s="10"/>
      <c r="G30" s="10"/>
    </row>
    <row r="31" spans="1:10" ht="14" x14ac:dyDescent="0.2">
      <c r="E31" s="10"/>
      <c r="F31" s="10"/>
      <c r="G31" s="10"/>
    </row>
    <row r="32" spans="1:10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4" x14ac:dyDescent="0.2">
      <c r="E55" s="10"/>
      <c r="F55" s="10"/>
      <c r="G55" s="10"/>
    </row>
    <row r="56" spans="5:7" ht="14" x14ac:dyDescent="0.2">
      <c r="E56" s="10"/>
      <c r="F56" s="10"/>
      <c r="G56" s="10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</sheetData>
  <conditionalFormatting sqref="E2:G720">
    <cfRule type="cellIs" dxfId="78" priority="1" operator="greaterThan">
      <formula>0</formula>
    </cfRule>
    <cfRule type="cellIs" dxfId="77" priority="2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71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29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303</v>
      </c>
      <c r="D4" s="1">
        <v>3989</v>
      </c>
      <c r="E4" s="10">
        <v>30000</v>
      </c>
      <c r="F4" s="10">
        <v>0</v>
      </c>
      <c r="G4" s="10"/>
      <c r="H4" s="30"/>
      <c r="I4" s="30"/>
      <c r="J4" s="30"/>
    </row>
    <row r="5" spans="1:10" ht="15" x14ac:dyDescent="0.2">
      <c r="A5" s="1"/>
      <c r="B5" s="1"/>
      <c r="C5" s="1" t="s">
        <v>78</v>
      </c>
      <c r="D5" s="1">
        <v>4045</v>
      </c>
      <c r="E5" s="10">
        <v>0</v>
      </c>
      <c r="F5" s="10">
        <v>-5000</v>
      </c>
      <c r="G5" s="10"/>
      <c r="H5" s="30"/>
      <c r="I5" s="30"/>
      <c r="J5" s="30"/>
    </row>
    <row r="6" spans="1:10" ht="15" x14ac:dyDescent="0.2">
      <c r="A6" s="1"/>
      <c r="B6" s="1"/>
      <c r="C6" s="1" t="s">
        <v>304</v>
      </c>
      <c r="D6" s="1">
        <v>5010</v>
      </c>
      <c r="E6" s="10">
        <v>0</v>
      </c>
      <c r="F6" s="10">
        <v>-20000</v>
      </c>
      <c r="G6" s="10"/>
      <c r="H6" s="30"/>
      <c r="I6" s="30"/>
      <c r="J6" s="30"/>
    </row>
    <row r="7" spans="1:10" ht="15" x14ac:dyDescent="0.2">
      <c r="A7" s="1"/>
      <c r="B7" s="1"/>
      <c r="C7" s="1" t="s">
        <v>305</v>
      </c>
      <c r="D7" s="1">
        <v>4620</v>
      </c>
      <c r="E7" s="10">
        <v>0</v>
      </c>
      <c r="F7" s="10">
        <v>-50000</v>
      </c>
      <c r="G7" s="10"/>
      <c r="H7" s="30" t="s">
        <v>306</v>
      </c>
      <c r="I7" s="30"/>
      <c r="J7" s="30"/>
    </row>
    <row r="8" spans="1:10" ht="15" x14ac:dyDescent="0.2">
      <c r="A8" s="1"/>
      <c r="B8" s="1"/>
      <c r="C8" s="1" t="s">
        <v>167</v>
      </c>
      <c r="D8" s="1">
        <v>5412</v>
      </c>
      <c r="E8" s="10">
        <v>0</v>
      </c>
      <c r="F8" s="10">
        <v>-12000</v>
      </c>
      <c r="G8" s="10"/>
      <c r="H8" s="30"/>
      <c r="I8" s="30"/>
      <c r="J8" s="30"/>
    </row>
    <row r="9" spans="1:10" ht="15" x14ac:dyDescent="0.2">
      <c r="A9" s="1"/>
      <c r="B9" s="1"/>
      <c r="C9" s="1"/>
      <c r="D9" s="1"/>
      <c r="E9" s="10"/>
      <c r="F9" s="10"/>
      <c r="G9" s="10"/>
      <c r="H9" s="30"/>
      <c r="I9" s="30"/>
      <c r="J9" s="30"/>
    </row>
    <row r="10" spans="1:10" ht="15" x14ac:dyDescent="0.2">
      <c r="A10" s="1"/>
      <c r="B10" s="1"/>
      <c r="C10" s="25" t="s">
        <v>80</v>
      </c>
      <c r="D10" s="1"/>
      <c r="E10" s="10">
        <f t="shared" ref="E10:F10" si="0">SUM(E4:E8)</f>
        <v>30000</v>
      </c>
      <c r="F10" s="10">
        <f t="shared" si="0"/>
        <v>-87000</v>
      </c>
      <c r="G10" s="10">
        <f>E10+F10</f>
        <v>-57000</v>
      </c>
      <c r="H10" s="30"/>
      <c r="I10" s="30"/>
      <c r="J10" s="30"/>
    </row>
    <row r="11" spans="1:10" ht="15.75" customHeight="1" x14ac:dyDescent="0.15">
      <c r="E11" s="33"/>
      <c r="F11" s="33"/>
      <c r="G11" s="33"/>
    </row>
    <row r="12" spans="1:10" ht="14" x14ac:dyDescent="0.2">
      <c r="C12" s="25" t="s">
        <v>102</v>
      </c>
      <c r="D12" s="1"/>
      <c r="E12" s="8">
        <f t="shared" ref="E12:F12" si="1">SUMIFS(E2:E11,$C2:$C11,"Subsubtotal")</f>
        <v>30000</v>
      </c>
      <c r="F12" s="31">
        <f t="shared" si="1"/>
        <v>-87000</v>
      </c>
      <c r="G12" s="10">
        <f>SUM(G2:G11)</f>
        <v>-57000</v>
      </c>
    </row>
    <row r="13" spans="1:10" ht="15.75" customHeight="1" x14ac:dyDescent="0.15">
      <c r="E13" s="33"/>
      <c r="F13" s="33"/>
      <c r="G13" s="33"/>
    </row>
    <row r="14" spans="1:10" ht="15.75" customHeight="1" x14ac:dyDescent="0.15">
      <c r="E14" s="33"/>
      <c r="F14" s="33"/>
      <c r="G14" s="33"/>
    </row>
    <row r="15" spans="1:10" ht="14" x14ac:dyDescent="0.2">
      <c r="E15" s="10"/>
      <c r="F15" s="10"/>
      <c r="G15" s="10"/>
    </row>
    <row r="16" spans="1:10" ht="14" x14ac:dyDescent="0.2">
      <c r="E16" s="10"/>
      <c r="F16" s="10"/>
      <c r="G16" s="10"/>
    </row>
    <row r="17" spans="5:7" ht="14" x14ac:dyDescent="0.2">
      <c r="E17" s="10"/>
      <c r="F17" s="10"/>
      <c r="G17" s="10"/>
    </row>
    <row r="18" spans="5:7" ht="14" x14ac:dyDescent="0.2">
      <c r="E18" s="10"/>
      <c r="F18" s="10"/>
      <c r="G18" s="10"/>
    </row>
    <row r="19" spans="5:7" ht="14" x14ac:dyDescent="0.2">
      <c r="E19" s="10"/>
      <c r="F19" s="10"/>
      <c r="G19" s="10"/>
    </row>
    <row r="20" spans="5:7" ht="14" x14ac:dyDescent="0.2">
      <c r="E20" s="10"/>
      <c r="F20" s="10"/>
      <c r="G20" s="10"/>
    </row>
    <row r="21" spans="5:7" ht="14" x14ac:dyDescent="0.2">
      <c r="E21" s="10"/>
      <c r="F21" s="10"/>
      <c r="G21" s="10"/>
    </row>
    <row r="22" spans="5:7" ht="14" x14ac:dyDescent="0.2">
      <c r="E22" s="10"/>
      <c r="F22" s="10"/>
      <c r="G22" s="10"/>
    </row>
    <row r="23" spans="5:7" ht="14" x14ac:dyDescent="0.2">
      <c r="E23" s="10"/>
      <c r="F23" s="10"/>
      <c r="G23" s="10"/>
    </row>
    <row r="24" spans="5:7" ht="14" x14ac:dyDescent="0.2">
      <c r="E24" s="10"/>
      <c r="F24" s="10"/>
      <c r="G24" s="10"/>
    </row>
    <row r="25" spans="5:7" ht="14" x14ac:dyDescent="0.2">
      <c r="E25" s="10"/>
      <c r="F25" s="10"/>
      <c r="G25" s="10"/>
    </row>
    <row r="26" spans="5:7" ht="14" x14ac:dyDescent="0.2">
      <c r="E26" s="10"/>
      <c r="F26" s="10"/>
      <c r="G26" s="10"/>
    </row>
    <row r="27" spans="5:7" ht="14" x14ac:dyDescent="0.2">
      <c r="E27" s="10"/>
      <c r="F27" s="10"/>
      <c r="G27" s="10"/>
    </row>
    <row r="28" spans="5:7" ht="14" x14ac:dyDescent="0.2">
      <c r="E28" s="10"/>
      <c r="F28" s="10"/>
      <c r="G28" s="10"/>
    </row>
    <row r="29" spans="5:7" ht="14" x14ac:dyDescent="0.2">
      <c r="E29" s="10"/>
      <c r="F29" s="10"/>
      <c r="G29" s="10"/>
    </row>
    <row r="30" spans="5:7" ht="14" x14ac:dyDescent="0.2">
      <c r="E30" s="10"/>
      <c r="F30" s="10"/>
      <c r="G30" s="10"/>
    </row>
    <row r="31" spans="5:7" ht="14" x14ac:dyDescent="0.2">
      <c r="E31" s="10"/>
      <c r="F31" s="10"/>
      <c r="G31" s="10"/>
    </row>
    <row r="32" spans="5:7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5.75" customHeight="1" x14ac:dyDescent="0.15">
      <c r="E50" s="33"/>
      <c r="F50" s="33"/>
      <c r="G50" s="33"/>
    </row>
    <row r="51" spans="5:7" ht="15.75" customHeight="1" x14ac:dyDescent="0.15">
      <c r="E51" s="33"/>
      <c r="F51" s="33"/>
      <c r="G51" s="33"/>
    </row>
    <row r="52" spans="5:7" ht="15.75" customHeight="1" x14ac:dyDescent="0.15">
      <c r="E52" s="33"/>
      <c r="F52" s="33"/>
      <c r="G52" s="33"/>
    </row>
    <row r="53" spans="5:7" ht="15.75" customHeight="1" x14ac:dyDescent="0.15">
      <c r="E53" s="33"/>
      <c r="F53" s="33"/>
      <c r="G53" s="33"/>
    </row>
    <row r="54" spans="5:7" ht="15.75" customHeight="1" x14ac:dyDescent="0.15">
      <c r="E54" s="33"/>
      <c r="F54" s="33"/>
      <c r="G54" s="33"/>
    </row>
    <row r="55" spans="5:7" ht="15.75" customHeight="1" x14ac:dyDescent="0.15">
      <c r="E55" s="33"/>
      <c r="F55" s="33"/>
      <c r="G55" s="33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</sheetData>
  <conditionalFormatting sqref="E2:G713">
    <cfRule type="cellIs" dxfId="76" priority="1" operator="greaterThan">
      <formula>0</formula>
    </cfRule>
    <cfRule type="cellIs" dxfId="75" priority="2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718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307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265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308</v>
      </c>
      <c r="D4" s="1">
        <v>4037</v>
      </c>
      <c r="E4" s="10">
        <v>0</v>
      </c>
      <c r="F4" s="10">
        <v>-3000</v>
      </c>
      <c r="G4" s="10"/>
      <c r="H4" s="30"/>
      <c r="I4" s="30"/>
      <c r="J4" s="30"/>
    </row>
    <row r="5" spans="1:10" ht="15" x14ac:dyDescent="0.2">
      <c r="A5" s="1"/>
      <c r="B5" s="1"/>
      <c r="C5" s="1" t="s">
        <v>309</v>
      </c>
      <c r="D5" s="1">
        <v>5420</v>
      </c>
      <c r="E5" s="10">
        <v>0</v>
      </c>
      <c r="F5" s="10">
        <v>-3000</v>
      </c>
      <c r="G5" s="10"/>
      <c r="H5" s="30"/>
      <c r="I5" s="30"/>
      <c r="J5" s="30"/>
    </row>
    <row r="6" spans="1:10" ht="15" x14ac:dyDescent="0.2">
      <c r="A6" s="1"/>
      <c r="B6" s="1"/>
      <c r="C6" s="1" t="s">
        <v>310</v>
      </c>
      <c r="D6" s="1">
        <v>6541</v>
      </c>
      <c r="E6" s="10">
        <v>0</v>
      </c>
      <c r="F6" s="10">
        <v>-50000</v>
      </c>
      <c r="G6" s="10"/>
      <c r="H6" s="30"/>
      <c r="I6" s="30"/>
      <c r="J6" s="30"/>
    </row>
    <row r="7" spans="1:10" ht="15" x14ac:dyDescent="0.2">
      <c r="A7" s="1"/>
      <c r="B7" s="1"/>
      <c r="C7" s="1" t="s">
        <v>311</v>
      </c>
      <c r="D7" s="1">
        <v>4037</v>
      </c>
      <c r="E7" s="10">
        <v>0</v>
      </c>
      <c r="F7" s="10">
        <v>-4000</v>
      </c>
      <c r="G7" s="10"/>
      <c r="H7" s="30"/>
      <c r="I7" s="30"/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30"/>
      <c r="I8" s="30" t="s">
        <v>312</v>
      </c>
      <c r="J8" s="30"/>
    </row>
    <row r="9" spans="1:10" ht="15" x14ac:dyDescent="0.2">
      <c r="A9" s="1"/>
      <c r="B9" s="1"/>
      <c r="C9" s="25" t="s">
        <v>80</v>
      </c>
      <c r="D9" s="1"/>
      <c r="E9" s="10">
        <f>SUM(E2:E6)</f>
        <v>0</v>
      </c>
      <c r="F9" s="10">
        <f>SUM(F2:F8)</f>
        <v>-60000</v>
      </c>
      <c r="G9" s="10">
        <f>E9+F9</f>
        <v>-60000</v>
      </c>
      <c r="H9" s="30"/>
      <c r="I9" s="30"/>
      <c r="J9" s="30"/>
    </row>
    <row r="10" spans="1:10" ht="15" x14ac:dyDescent="0.2">
      <c r="A10" s="1"/>
      <c r="B10" s="25"/>
      <c r="C10" s="1"/>
      <c r="D10" s="1"/>
      <c r="E10" s="10"/>
      <c r="F10" s="10"/>
      <c r="G10" s="10"/>
      <c r="H10" s="30"/>
      <c r="I10" s="30"/>
      <c r="J10" s="30"/>
    </row>
    <row r="11" spans="1:10" ht="15" x14ac:dyDescent="0.2">
      <c r="A11" s="1"/>
      <c r="B11" s="25" t="s">
        <v>81</v>
      </c>
      <c r="C11" s="1"/>
      <c r="D11" s="1"/>
      <c r="E11" s="10"/>
      <c r="F11" s="10"/>
      <c r="G11" s="10"/>
      <c r="H11" s="30"/>
      <c r="I11" s="30"/>
      <c r="J11" s="30"/>
    </row>
    <row r="12" spans="1:10" ht="15" x14ac:dyDescent="0.2">
      <c r="A12" s="1"/>
      <c r="B12" s="1"/>
      <c r="C12" s="1" t="s">
        <v>82</v>
      </c>
      <c r="D12" s="1">
        <v>7631</v>
      </c>
      <c r="E12" s="10">
        <v>0</v>
      </c>
      <c r="F12" s="10">
        <v>-5000</v>
      </c>
      <c r="G12" s="10"/>
      <c r="H12" s="30"/>
      <c r="I12" s="30"/>
      <c r="J12" s="30"/>
    </row>
    <row r="13" spans="1:10" ht="15" x14ac:dyDescent="0.2">
      <c r="A13" s="1"/>
      <c r="B13" s="1"/>
      <c r="C13" s="1" t="s">
        <v>83</v>
      </c>
      <c r="D13" s="1">
        <v>7691</v>
      </c>
      <c r="E13" s="10">
        <v>0</v>
      </c>
      <c r="F13" s="10">
        <v>-4500</v>
      </c>
      <c r="G13" s="10"/>
      <c r="H13" s="30"/>
      <c r="I13" s="30"/>
      <c r="J13" s="30"/>
    </row>
    <row r="14" spans="1:10" ht="15" x14ac:dyDescent="0.2">
      <c r="A14" s="1"/>
      <c r="B14" s="1"/>
      <c r="C14" s="1"/>
      <c r="D14" s="1"/>
      <c r="E14" s="10"/>
      <c r="F14" s="10"/>
      <c r="G14" s="10"/>
      <c r="H14" s="30"/>
      <c r="I14" s="30"/>
      <c r="J14" s="30"/>
    </row>
    <row r="15" spans="1:10" ht="15" x14ac:dyDescent="0.2">
      <c r="A15" s="1"/>
      <c r="B15" s="25"/>
      <c r="C15" s="25" t="s">
        <v>80</v>
      </c>
      <c r="D15" s="1"/>
      <c r="E15" s="10">
        <f>E12</f>
        <v>0</v>
      </c>
      <c r="F15" s="10">
        <f>SUM(F12:F13)</f>
        <v>-9500</v>
      </c>
      <c r="G15" s="10">
        <f>E15+F15</f>
        <v>-9500</v>
      </c>
      <c r="H15" s="30"/>
      <c r="I15" s="30"/>
      <c r="J15" s="30"/>
    </row>
    <row r="16" spans="1:10" ht="15.75" customHeight="1" x14ac:dyDescent="0.15">
      <c r="E16" s="33"/>
      <c r="F16" s="33"/>
      <c r="G16" s="33"/>
    </row>
    <row r="17" spans="3:7" ht="14" x14ac:dyDescent="0.2">
      <c r="C17" s="25" t="s">
        <v>102</v>
      </c>
      <c r="D17" s="1"/>
      <c r="E17" s="8">
        <f t="shared" ref="E17:F17" si="0">SUMIFS(E2:E16,$C2:$C16,"Subsubtotal")</f>
        <v>0</v>
      </c>
      <c r="F17" s="31">
        <f t="shared" si="0"/>
        <v>-69500</v>
      </c>
      <c r="G17" s="10">
        <f>SUM(G2:G16)</f>
        <v>-69500</v>
      </c>
    </row>
    <row r="18" spans="3:7" ht="15.75" customHeight="1" x14ac:dyDescent="0.15">
      <c r="E18" s="33"/>
      <c r="F18" s="33"/>
      <c r="G18" s="33"/>
    </row>
    <row r="19" spans="3:7" ht="15.75" customHeight="1" x14ac:dyDescent="0.15">
      <c r="E19" s="33"/>
      <c r="F19" s="33"/>
      <c r="G19" s="33"/>
    </row>
    <row r="20" spans="3:7" ht="14" x14ac:dyDescent="0.2">
      <c r="E20" s="10"/>
      <c r="F20" s="10"/>
      <c r="G20" s="10"/>
    </row>
    <row r="21" spans="3:7" ht="14" x14ac:dyDescent="0.2">
      <c r="E21" s="10"/>
      <c r="F21" s="10"/>
      <c r="G21" s="10"/>
    </row>
    <row r="22" spans="3:7" ht="14" x14ac:dyDescent="0.2">
      <c r="E22" s="10"/>
      <c r="F22" s="10"/>
      <c r="G22" s="10"/>
    </row>
    <row r="23" spans="3:7" ht="14" x14ac:dyDescent="0.2">
      <c r="E23" s="10"/>
      <c r="F23" s="10"/>
      <c r="G23" s="10"/>
    </row>
    <row r="24" spans="3:7" ht="14" x14ac:dyDescent="0.2">
      <c r="E24" s="10"/>
      <c r="F24" s="10"/>
      <c r="G24" s="10"/>
    </row>
    <row r="25" spans="3:7" ht="14" x14ac:dyDescent="0.2">
      <c r="E25" s="10"/>
      <c r="F25" s="10"/>
      <c r="G25" s="10"/>
    </row>
    <row r="26" spans="3:7" ht="14" x14ac:dyDescent="0.2">
      <c r="E26" s="10"/>
      <c r="F26" s="10"/>
      <c r="G26" s="10"/>
    </row>
    <row r="27" spans="3:7" ht="14" x14ac:dyDescent="0.2">
      <c r="E27" s="10"/>
      <c r="F27" s="10"/>
      <c r="G27" s="10"/>
    </row>
    <row r="28" spans="3:7" ht="14" x14ac:dyDescent="0.2">
      <c r="E28" s="10"/>
      <c r="F28" s="10"/>
      <c r="G28" s="10"/>
    </row>
    <row r="29" spans="3:7" ht="14" x14ac:dyDescent="0.2">
      <c r="E29" s="10"/>
      <c r="F29" s="10"/>
      <c r="G29" s="10"/>
    </row>
    <row r="30" spans="3:7" ht="14" x14ac:dyDescent="0.2">
      <c r="E30" s="10"/>
      <c r="F30" s="10"/>
      <c r="G30" s="10"/>
    </row>
    <row r="31" spans="3:7" ht="14" x14ac:dyDescent="0.2">
      <c r="E31" s="10"/>
      <c r="F31" s="10"/>
      <c r="G31" s="10"/>
    </row>
    <row r="32" spans="3:7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5.75" customHeight="1" x14ac:dyDescent="0.15">
      <c r="E55" s="33"/>
      <c r="F55" s="33"/>
      <c r="G55" s="33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</sheetData>
  <conditionalFormatting sqref="E2:G718">
    <cfRule type="cellIs" dxfId="74" priority="1" operator="greaterThan">
      <formula>0</formula>
    </cfRule>
    <cfRule type="cellIs" dxfId="73" priority="2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78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313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184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314</v>
      </c>
      <c r="D4" s="1">
        <v>4027</v>
      </c>
      <c r="E4" s="10">
        <v>0</v>
      </c>
      <c r="F4" s="10">
        <v>-1500</v>
      </c>
      <c r="G4" s="10"/>
      <c r="H4" s="30"/>
      <c r="I4" s="30"/>
      <c r="J4" s="30"/>
    </row>
    <row r="5" spans="1:10" ht="15" x14ac:dyDescent="0.2">
      <c r="A5" s="1"/>
      <c r="B5" s="1"/>
      <c r="C5" s="1" t="s">
        <v>78</v>
      </c>
      <c r="D5" s="1">
        <v>4045</v>
      </c>
      <c r="E5" s="10">
        <v>0</v>
      </c>
      <c r="F5" s="10">
        <v>-8000</v>
      </c>
      <c r="G5" s="10"/>
      <c r="H5" s="30"/>
      <c r="I5" s="30"/>
      <c r="J5" s="30"/>
    </row>
    <row r="6" spans="1:10" ht="15" x14ac:dyDescent="0.2">
      <c r="A6" s="1"/>
      <c r="B6" s="1"/>
      <c r="C6" s="1" t="s">
        <v>96</v>
      </c>
      <c r="D6" s="1">
        <v>5411</v>
      </c>
      <c r="E6" s="10">
        <v>0</v>
      </c>
      <c r="F6" s="10">
        <v>0</v>
      </c>
      <c r="G6" s="10"/>
      <c r="H6" s="30"/>
      <c r="I6" s="30"/>
      <c r="J6" s="30"/>
    </row>
    <row r="7" spans="1:10" ht="15" x14ac:dyDescent="0.2">
      <c r="A7" s="1"/>
      <c r="B7" s="1"/>
      <c r="C7" s="1" t="s">
        <v>151</v>
      </c>
      <c r="D7" s="1">
        <v>5010</v>
      </c>
      <c r="E7" s="10">
        <v>0</v>
      </c>
      <c r="F7" s="10">
        <v>-2000</v>
      </c>
      <c r="G7" s="10"/>
      <c r="H7" s="30"/>
      <c r="I7" s="30"/>
      <c r="J7" s="30"/>
    </row>
    <row r="8" spans="1:10" ht="15" x14ac:dyDescent="0.2">
      <c r="A8" s="1"/>
      <c r="B8" s="1"/>
      <c r="C8" s="1" t="s">
        <v>305</v>
      </c>
      <c r="D8" s="1">
        <v>4620</v>
      </c>
      <c r="E8" s="10">
        <v>0</v>
      </c>
      <c r="F8" s="10">
        <v>-2500</v>
      </c>
      <c r="G8" s="10"/>
      <c r="H8" s="30"/>
      <c r="I8" s="30"/>
      <c r="J8" s="30"/>
    </row>
    <row r="9" spans="1:10" ht="15" x14ac:dyDescent="0.2">
      <c r="A9" s="1"/>
      <c r="B9" s="1"/>
      <c r="C9" s="1" t="s">
        <v>315</v>
      </c>
      <c r="D9" s="1">
        <v>4030</v>
      </c>
      <c r="E9" s="10">
        <v>0</v>
      </c>
      <c r="F9" s="10">
        <v>-2500</v>
      </c>
      <c r="G9" s="10"/>
      <c r="H9" s="30"/>
      <c r="I9" s="30"/>
      <c r="J9" s="30"/>
    </row>
    <row r="10" spans="1:10" ht="15" x14ac:dyDescent="0.2">
      <c r="A10" s="1"/>
      <c r="B10" s="25"/>
      <c r="G10" s="10"/>
      <c r="H10" s="30"/>
      <c r="I10" s="30"/>
      <c r="J10" s="30"/>
    </row>
    <row r="11" spans="1:10" ht="15" x14ac:dyDescent="0.2">
      <c r="A11" s="1"/>
      <c r="B11" s="1"/>
      <c r="C11" s="25" t="s">
        <v>80</v>
      </c>
      <c r="D11" s="1"/>
      <c r="E11" s="10">
        <f t="shared" ref="E11:F11" si="0">SUM(E4:E9)</f>
        <v>0</v>
      </c>
      <c r="F11" s="10">
        <f t="shared" si="0"/>
        <v>-16500</v>
      </c>
      <c r="G11" s="10">
        <f>E11+F11</f>
        <v>-16500</v>
      </c>
      <c r="H11" s="30"/>
      <c r="I11" s="30"/>
      <c r="J11" s="30"/>
    </row>
    <row r="12" spans="1:10" ht="15" x14ac:dyDescent="0.2">
      <c r="A12" s="1"/>
      <c r="B12" s="1"/>
      <c r="C12" s="1"/>
      <c r="D12" s="1"/>
      <c r="E12" s="10"/>
      <c r="F12" s="10"/>
      <c r="G12" s="10"/>
      <c r="H12" s="30"/>
      <c r="I12" s="30"/>
      <c r="J12" s="30"/>
    </row>
    <row r="13" spans="1:10" ht="15" x14ac:dyDescent="0.2">
      <c r="A13" s="1"/>
      <c r="B13" s="25" t="s">
        <v>77</v>
      </c>
      <c r="C13" s="1"/>
      <c r="D13" s="1"/>
      <c r="E13" s="10"/>
      <c r="F13" s="10"/>
      <c r="G13" s="10"/>
      <c r="H13" s="30"/>
      <c r="I13" s="30"/>
      <c r="J13" s="30"/>
    </row>
    <row r="14" spans="1:10" ht="15" x14ac:dyDescent="0.2">
      <c r="A14" s="1"/>
      <c r="B14" s="1"/>
      <c r="C14" s="1" t="s">
        <v>263</v>
      </c>
      <c r="D14" s="1">
        <v>6072</v>
      </c>
      <c r="E14" s="10">
        <v>0</v>
      </c>
      <c r="F14" s="10">
        <v>-1000</v>
      </c>
      <c r="G14" s="10"/>
      <c r="H14" s="30"/>
      <c r="I14" s="30"/>
      <c r="J14" s="30"/>
    </row>
    <row r="15" spans="1:10" ht="15" x14ac:dyDescent="0.2">
      <c r="A15" s="1"/>
      <c r="B15" s="1"/>
      <c r="C15" s="1"/>
      <c r="D15" s="1"/>
      <c r="E15" s="10"/>
      <c r="F15" s="10"/>
      <c r="G15" s="10"/>
      <c r="H15" s="30"/>
      <c r="I15" s="30"/>
      <c r="J15" s="30"/>
    </row>
    <row r="16" spans="1:10" ht="15" x14ac:dyDescent="0.2">
      <c r="A16" s="1"/>
      <c r="B16" s="1"/>
      <c r="C16" s="25" t="s">
        <v>80</v>
      </c>
      <c r="D16" s="1"/>
      <c r="E16" s="10">
        <f t="shared" ref="E16:F16" si="1">E14</f>
        <v>0</v>
      </c>
      <c r="F16" s="10">
        <f t="shared" si="1"/>
        <v>-1000</v>
      </c>
      <c r="G16" s="10">
        <f>E16+F16</f>
        <v>-1000</v>
      </c>
      <c r="H16" s="30"/>
      <c r="I16" s="30"/>
      <c r="J16" s="30"/>
    </row>
    <row r="17" spans="1:10" ht="15" x14ac:dyDescent="0.2">
      <c r="A17" s="1"/>
      <c r="B17" s="1"/>
      <c r="C17" s="1"/>
      <c r="D17" s="1"/>
      <c r="E17" s="10"/>
      <c r="F17" s="10"/>
      <c r="G17" s="10"/>
      <c r="H17" s="30"/>
      <c r="I17" s="30"/>
      <c r="J17" s="30"/>
    </row>
    <row r="18" spans="1:10" ht="15" x14ac:dyDescent="0.2">
      <c r="A18" s="1"/>
      <c r="B18" s="25" t="s">
        <v>81</v>
      </c>
      <c r="C18" s="1"/>
      <c r="D18" s="1"/>
      <c r="E18" s="10"/>
      <c r="F18" s="10"/>
      <c r="G18" s="10"/>
      <c r="H18" s="30"/>
      <c r="I18" s="30"/>
      <c r="J18" s="30"/>
    </row>
    <row r="19" spans="1:10" ht="15" x14ac:dyDescent="0.2">
      <c r="A19" s="1"/>
      <c r="B19" s="1"/>
      <c r="C19" s="1" t="s">
        <v>83</v>
      </c>
      <c r="D19" s="1">
        <v>7691</v>
      </c>
      <c r="E19" s="10">
        <v>0</v>
      </c>
      <c r="F19" s="10">
        <v>-4200</v>
      </c>
      <c r="G19" s="10"/>
      <c r="H19" s="30"/>
      <c r="I19" s="30"/>
      <c r="J19" s="30"/>
    </row>
    <row r="20" spans="1:10" ht="15" x14ac:dyDescent="0.2">
      <c r="A20" s="1"/>
      <c r="B20" s="1"/>
      <c r="C20" s="1" t="s">
        <v>85</v>
      </c>
      <c r="D20" s="1">
        <v>4044</v>
      </c>
      <c r="E20" s="10">
        <v>0</v>
      </c>
      <c r="F20" s="10">
        <v>-10000</v>
      </c>
      <c r="G20" s="10"/>
      <c r="H20" s="30"/>
      <c r="I20" s="30"/>
      <c r="J20" s="30"/>
    </row>
    <row r="21" spans="1:10" ht="15" x14ac:dyDescent="0.2">
      <c r="A21" s="1"/>
      <c r="B21" s="1"/>
      <c r="C21" s="1" t="s">
        <v>84</v>
      </c>
      <c r="D21" s="1">
        <v>3044</v>
      </c>
      <c r="E21" s="10">
        <v>5000</v>
      </c>
      <c r="F21" s="10">
        <v>0</v>
      </c>
      <c r="G21" s="10"/>
      <c r="H21" s="30"/>
      <c r="I21" s="30"/>
      <c r="J21" s="30"/>
    </row>
    <row r="22" spans="1:10" ht="15" x14ac:dyDescent="0.2">
      <c r="A22" s="1"/>
      <c r="B22" s="1"/>
      <c r="C22" s="1" t="s">
        <v>82</v>
      </c>
      <c r="D22" s="1">
        <v>7631</v>
      </c>
      <c r="E22" s="10">
        <v>0</v>
      </c>
      <c r="F22" s="10">
        <v>-7000</v>
      </c>
      <c r="G22" s="10"/>
      <c r="H22" s="30"/>
      <c r="I22" s="30"/>
      <c r="J22" s="30"/>
    </row>
    <row r="23" spans="1:10" ht="15" x14ac:dyDescent="0.2">
      <c r="A23" s="1"/>
      <c r="B23" s="1"/>
      <c r="C23" s="1"/>
      <c r="D23" s="1"/>
      <c r="E23" s="10"/>
      <c r="F23" s="10"/>
      <c r="G23" s="10"/>
      <c r="H23" s="30"/>
      <c r="I23" s="30"/>
      <c r="J23" s="30"/>
    </row>
    <row r="24" spans="1:10" ht="15" x14ac:dyDescent="0.2">
      <c r="A24" s="1"/>
      <c r="B24" s="1"/>
      <c r="C24" s="25" t="s">
        <v>80</v>
      </c>
      <c r="D24" s="1"/>
      <c r="E24" s="10">
        <f t="shared" ref="E24:F24" si="2">SUM(E19:E22)</f>
        <v>5000</v>
      </c>
      <c r="F24" s="10">
        <f t="shared" si="2"/>
        <v>-21200</v>
      </c>
      <c r="G24" s="10">
        <f>E24+F24</f>
        <v>-16200</v>
      </c>
      <c r="H24" s="30"/>
      <c r="I24" s="30"/>
      <c r="J24" s="30"/>
    </row>
    <row r="25" spans="1:10" ht="15" x14ac:dyDescent="0.2">
      <c r="A25" s="1"/>
      <c r="B25" s="1"/>
      <c r="C25" s="1"/>
      <c r="D25" s="1"/>
      <c r="E25" s="10"/>
      <c r="F25" s="10"/>
      <c r="G25" s="10"/>
      <c r="H25" s="30"/>
      <c r="I25" s="30"/>
      <c r="J25" s="30"/>
    </row>
    <row r="26" spans="1:10" ht="15" x14ac:dyDescent="0.2">
      <c r="A26" s="1"/>
      <c r="B26" s="25" t="s">
        <v>316</v>
      </c>
      <c r="H26" s="30"/>
      <c r="I26" s="30"/>
      <c r="J26" s="30"/>
    </row>
    <row r="27" spans="1:10" ht="15" x14ac:dyDescent="0.2">
      <c r="A27" s="1"/>
      <c r="B27" s="1"/>
      <c r="C27" s="1" t="s">
        <v>88</v>
      </c>
      <c r="D27" s="1" t="s">
        <v>89</v>
      </c>
      <c r="E27" s="10">
        <v>8490</v>
      </c>
      <c r="F27" s="10">
        <v>0</v>
      </c>
      <c r="G27" s="10"/>
      <c r="H27" s="30"/>
      <c r="I27" s="30"/>
      <c r="J27" s="30"/>
    </row>
    <row r="28" spans="1:10" ht="15" x14ac:dyDescent="0.2">
      <c r="A28" s="1"/>
      <c r="B28" s="1"/>
      <c r="C28" s="1" t="s">
        <v>91</v>
      </c>
      <c r="D28" s="1" t="s">
        <v>92</v>
      </c>
      <c r="E28" s="10">
        <v>0</v>
      </c>
      <c r="F28" s="10">
        <v>-2376</v>
      </c>
      <c r="G28" s="10"/>
      <c r="H28" s="30"/>
      <c r="I28" s="30"/>
      <c r="J28" s="30"/>
    </row>
    <row r="29" spans="1:10" ht="15" x14ac:dyDescent="0.2">
      <c r="A29" s="1"/>
      <c r="B29" s="1"/>
      <c r="C29" s="1" t="s">
        <v>94</v>
      </c>
      <c r="D29" s="1">
        <v>4029</v>
      </c>
      <c r="E29" s="10">
        <v>0</v>
      </c>
      <c r="F29" s="10">
        <v>-2400</v>
      </c>
      <c r="G29" s="10"/>
      <c r="H29" s="30"/>
      <c r="I29" s="30"/>
      <c r="J29" s="30"/>
    </row>
    <row r="30" spans="1:10" ht="15" x14ac:dyDescent="0.2">
      <c r="A30" s="1"/>
      <c r="B30" s="25"/>
      <c r="C30" s="1" t="s">
        <v>101</v>
      </c>
      <c r="D30" s="1">
        <v>5010</v>
      </c>
      <c r="E30" s="10">
        <v>0</v>
      </c>
      <c r="F30" s="10">
        <v>-600</v>
      </c>
      <c r="G30" s="10"/>
      <c r="H30" s="30"/>
      <c r="I30" s="30"/>
      <c r="J30" s="30"/>
    </row>
    <row r="31" spans="1:10" ht="15" x14ac:dyDescent="0.2">
      <c r="A31" s="1"/>
      <c r="B31" s="1"/>
      <c r="C31" s="1" t="s">
        <v>96</v>
      </c>
      <c r="D31" s="1">
        <v>5411</v>
      </c>
      <c r="E31" s="10">
        <v>0</v>
      </c>
      <c r="F31" s="10">
        <v>-500</v>
      </c>
      <c r="G31" s="10"/>
      <c r="H31" s="30"/>
      <c r="I31" s="30"/>
      <c r="J31" s="30"/>
    </row>
    <row r="32" spans="1:10" ht="15" x14ac:dyDescent="0.2">
      <c r="A32" s="1"/>
      <c r="B32" s="1"/>
      <c r="C32" s="1" t="s">
        <v>97</v>
      </c>
      <c r="D32" s="1">
        <v>7691</v>
      </c>
      <c r="E32" s="10">
        <v>0</v>
      </c>
      <c r="F32" s="10">
        <v>-200</v>
      </c>
      <c r="G32" s="10"/>
      <c r="H32" s="30"/>
      <c r="I32" s="30"/>
      <c r="J32" s="30"/>
    </row>
    <row r="33" spans="1:10" ht="15" x14ac:dyDescent="0.2">
      <c r="A33" s="1"/>
      <c r="B33" s="1"/>
      <c r="C33" s="1" t="s">
        <v>98</v>
      </c>
      <c r="D33" s="1">
        <v>5463</v>
      </c>
      <c r="E33" s="10">
        <v>0</v>
      </c>
      <c r="F33" s="10">
        <v>-600</v>
      </c>
      <c r="G33" s="10"/>
      <c r="H33" s="30"/>
      <c r="I33" s="30"/>
      <c r="J33" s="30"/>
    </row>
    <row r="34" spans="1:10" ht="15" x14ac:dyDescent="0.2">
      <c r="A34" s="1"/>
      <c r="B34" s="1"/>
      <c r="C34" s="1" t="s">
        <v>99</v>
      </c>
      <c r="D34" s="1">
        <v>4027</v>
      </c>
      <c r="E34" s="10">
        <v>0</v>
      </c>
      <c r="F34" s="10">
        <v>-1500</v>
      </c>
      <c r="G34" s="10"/>
      <c r="H34" s="30"/>
      <c r="I34" s="30"/>
      <c r="J34" s="30"/>
    </row>
    <row r="35" spans="1:10" ht="15" x14ac:dyDescent="0.2">
      <c r="A35" s="1"/>
      <c r="B35" s="1"/>
      <c r="C35" s="1"/>
      <c r="D35" s="1"/>
      <c r="E35" s="10"/>
      <c r="F35" s="10"/>
      <c r="G35" s="10"/>
      <c r="H35" s="30"/>
      <c r="I35" s="30"/>
      <c r="J35" s="30"/>
    </row>
    <row r="36" spans="1:10" ht="15" x14ac:dyDescent="0.2">
      <c r="A36" s="1"/>
      <c r="B36" s="1"/>
      <c r="C36" s="25" t="s">
        <v>80</v>
      </c>
      <c r="D36" s="1"/>
      <c r="E36" s="10">
        <f t="shared" ref="E36:F36" si="3">SUM(E27:E34)</f>
        <v>8490</v>
      </c>
      <c r="F36" s="10">
        <f t="shared" si="3"/>
        <v>-8176</v>
      </c>
      <c r="G36" s="10">
        <f>E36+F36</f>
        <v>314</v>
      </c>
      <c r="H36" s="30"/>
      <c r="I36" s="30"/>
      <c r="J36" s="30"/>
    </row>
    <row r="37" spans="1:10" ht="15" x14ac:dyDescent="0.2">
      <c r="A37" s="1"/>
      <c r="B37" s="1"/>
      <c r="C37" s="1"/>
      <c r="D37" s="1"/>
      <c r="E37" s="10"/>
      <c r="F37" s="10"/>
      <c r="G37" s="10"/>
      <c r="H37" s="30"/>
      <c r="I37" s="30"/>
      <c r="J37" s="30"/>
    </row>
    <row r="38" spans="1:10" ht="15" x14ac:dyDescent="0.2">
      <c r="A38" s="1"/>
      <c r="B38" s="25" t="s">
        <v>317</v>
      </c>
      <c r="H38" s="30"/>
      <c r="I38" s="30"/>
      <c r="J38" s="30"/>
    </row>
    <row r="39" spans="1:10" ht="15" x14ac:dyDescent="0.2">
      <c r="A39" s="1"/>
      <c r="B39" s="1"/>
      <c r="C39" s="1" t="s">
        <v>88</v>
      </c>
      <c r="D39" s="1" t="s">
        <v>89</v>
      </c>
      <c r="E39" s="10">
        <v>8490</v>
      </c>
      <c r="F39" s="10">
        <v>0</v>
      </c>
      <c r="G39" s="10"/>
      <c r="H39" s="30"/>
      <c r="I39" s="30"/>
      <c r="J39" s="30"/>
    </row>
    <row r="40" spans="1:10" ht="15" x14ac:dyDescent="0.2">
      <c r="A40" s="1"/>
      <c r="B40" s="1"/>
      <c r="C40" s="1" t="s">
        <v>91</v>
      </c>
      <c r="D40" s="1" t="s">
        <v>92</v>
      </c>
      <c r="E40" s="10">
        <v>0</v>
      </c>
      <c r="F40" s="10">
        <v>-2376</v>
      </c>
      <c r="G40" s="10"/>
      <c r="H40" s="30"/>
      <c r="I40" s="30"/>
      <c r="J40" s="30"/>
    </row>
    <row r="41" spans="1:10" ht="15" x14ac:dyDescent="0.2">
      <c r="A41" s="1"/>
      <c r="B41" s="1"/>
      <c r="C41" s="1" t="s">
        <v>94</v>
      </c>
      <c r="D41" s="1">
        <v>4029</v>
      </c>
      <c r="E41" s="10">
        <v>0</v>
      </c>
      <c r="F41" s="10">
        <v>-3000</v>
      </c>
      <c r="G41" s="10"/>
      <c r="H41" s="30"/>
      <c r="I41" s="30"/>
      <c r="J41" s="30"/>
    </row>
    <row r="42" spans="1:10" ht="15" x14ac:dyDescent="0.2">
      <c r="A42" s="1"/>
      <c r="B42" s="1"/>
      <c r="C42" s="1" t="s">
        <v>96</v>
      </c>
      <c r="D42" s="1">
        <v>5411</v>
      </c>
      <c r="E42" s="10">
        <v>0</v>
      </c>
      <c r="F42" s="10">
        <v>-500</v>
      </c>
      <c r="G42" s="10"/>
      <c r="H42" s="30"/>
      <c r="I42" s="30"/>
      <c r="J42" s="30"/>
    </row>
    <row r="43" spans="1:10" ht="15" x14ac:dyDescent="0.2">
      <c r="A43" s="1"/>
      <c r="B43" s="1"/>
      <c r="C43" s="1" t="s">
        <v>97</v>
      </c>
      <c r="D43" s="1">
        <v>7691</v>
      </c>
      <c r="E43" s="10">
        <v>0</v>
      </c>
      <c r="F43" s="10">
        <v>-200</v>
      </c>
      <c r="G43" s="10"/>
      <c r="H43" s="30"/>
      <c r="I43" s="30"/>
      <c r="J43" s="30"/>
    </row>
    <row r="44" spans="1:10" ht="15" x14ac:dyDescent="0.2">
      <c r="A44" s="1"/>
      <c r="B44" s="1"/>
      <c r="C44" s="1" t="s">
        <v>98</v>
      </c>
      <c r="D44" s="1">
        <v>5463</v>
      </c>
      <c r="E44" s="10">
        <v>0</v>
      </c>
      <c r="F44" s="10">
        <v>-600</v>
      </c>
      <c r="G44" s="10"/>
      <c r="H44" s="30"/>
      <c r="I44" s="30"/>
      <c r="J44" s="30"/>
    </row>
    <row r="45" spans="1:10" ht="15" x14ac:dyDescent="0.2">
      <c r="A45" s="1"/>
      <c r="B45" s="1"/>
      <c r="C45" s="1" t="s">
        <v>99</v>
      </c>
      <c r="D45" s="1">
        <v>4027</v>
      </c>
      <c r="E45" s="10">
        <v>0</v>
      </c>
      <c r="F45" s="10">
        <v>-1500</v>
      </c>
      <c r="G45" s="10"/>
      <c r="H45" s="30"/>
      <c r="I45" s="30"/>
      <c r="J45" s="30"/>
    </row>
    <row r="46" spans="1:10" ht="15" x14ac:dyDescent="0.2">
      <c r="A46" s="1"/>
      <c r="B46" s="1"/>
      <c r="C46" s="1"/>
      <c r="D46" s="1"/>
      <c r="E46" s="10"/>
      <c r="F46" s="10"/>
      <c r="G46" s="10"/>
      <c r="H46" s="30"/>
      <c r="I46" s="30"/>
      <c r="J46" s="30"/>
    </row>
    <row r="47" spans="1:10" ht="15" x14ac:dyDescent="0.2">
      <c r="A47" s="1"/>
      <c r="B47" s="1"/>
      <c r="C47" s="25" t="s">
        <v>80</v>
      </c>
      <c r="D47" s="1"/>
      <c r="E47" s="10">
        <f t="shared" ref="E47:F47" si="4">SUM(E39:E45)</f>
        <v>8490</v>
      </c>
      <c r="F47" s="10">
        <f t="shared" si="4"/>
        <v>-8176</v>
      </c>
      <c r="G47" s="10">
        <f>E47+F47</f>
        <v>314</v>
      </c>
      <c r="H47" s="30"/>
      <c r="I47" s="30"/>
      <c r="J47" s="30"/>
    </row>
    <row r="48" spans="1:10" ht="15" x14ac:dyDescent="0.2">
      <c r="A48" s="1"/>
      <c r="B48" s="1"/>
      <c r="C48" s="1"/>
      <c r="D48" s="1"/>
      <c r="E48" s="10"/>
      <c r="F48" s="10"/>
      <c r="G48" s="10"/>
      <c r="H48" s="30"/>
      <c r="I48" s="30"/>
      <c r="J48" s="30"/>
    </row>
    <row r="49" spans="1:10" ht="15" x14ac:dyDescent="0.2">
      <c r="A49" s="1"/>
      <c r="B49" s="25" t="s">
        <v>318</v>
      </c>
      <c r="H49" s="30"/>
      <c r="I49" s="30"/>
      <c r="J49" s="30"/>
    </row>
    <row r="50" spans="1:10" ht="15" x14ac:dyDescent="0.2">
      <c r="A50" s="1"/>
      <c r="B50" s="1"/>
      <c r="C50" s="1" t="s">
        <v>88</v>
      </c>
      <c r="D50" s="1" t="s">
        <v>89</v>
      </c>
      <c r="E50" s="10">
        <v>8490</v>
      </c>
      <c r="F50" s="10">
        <v>0</v>
      </c>
      <c r="G50" s="10"/>
      <c r="H50" s="30"/>
      <c r="I50" s="30"/>
      <c r="J50" s="30"/>
    </row>
    <row r="51" spans="1:10" ht="15" x14ac:dyDescent="0.2">
      <c r="A51" s="30"/>
      <c r="B51" s="1"/>
      <c r="C51" s="1" t="s">
        <v>91</v>
      </c>
      <c r="D51" s="1" t="s">
        <v>92</v>
      </c>
      <c r="E51" s="10">
        <v>0</v>
      </c>
      <c r="F51" s="10">
        <v>-2376</v>
      </c>
      <c r="G51" s="10"/>
      <c r="H51" s="30"/>
      <c r="I51" s="30"/>
      <c r="J51" s="30"/>
    </row>
    <row r="52" spans="1:10" ht="15" x14ac:dyDescent="0.2">
      <c r="A52" s="30"/>
      <c r="B52" s="1"/>
      <c r="C52" s="1" t="s">
        <v>94</v>
      </c>
      <c r="D52" s="1">
        <v>4029</v>
      </c>
      <c r="E52" s="10">
        <v>0</v>
      </c>
      <c r="F52" s="10">
        <v>-2400</v>
      </c>
      <c r="G52" s="10"/>
      <c r="H52" s="30"/>
      <c r="I52" s="30"/>
      <c r="J52" s="30"/>
    </row>
    <row r="53" spans="1:10" ht="15" x14ac:dyDescent="0.2">
      <c r="A53" s="30"/>
      <c r="B53" s="25"/>
      <c r="C53" s="1" t="s">
        <v>101</v>
      </c>
      <c r="D53" s="1">
        <v>5010</v>
      </c>
      <c r="E53" s="10">
        <v>0</v>
      </c>
      <c r="F53" s="10">
        <v>-600</v>
      </c>
      <c r="G53" s="10"/>
      <c r="H53" s="30"/>
      <c r="I53" s="30"/>
      <c r="J53" s="30"/>
    </row>
    <row r="54" spans="1:10" ht="15" x14ac:dyDescent="0.2">
      <c r="A54" s="30"/>
      <c r="B54" s="1"/>
      <c r="C54" s="1" t="s">
        <v>96</v>
      </c>
      <c r="D54" s="1">
        <v>5411</v>
      </c>
      <c r="E54" s="10">
        <v>0</v>
      </c>
      <c r="F54" s="10">
        <v>-500</v>
      </c>
      <c r="G54" s="10"/>
      <c r="H54" s="30"/>
      <c r="I54" s="30"/>
      <c r="J54" s="30"/>
    </row>
    <row r="55" spans="1:10" ht="15" x14ac:dyDescent="0.2">
      <c r="A55" s="30"/>
      <c r="B55" s="1"/>
      <c r="C55" s="1" t="s">
        <v>97</v>
      </c>
      <c r="D55" s="1">
        <v>7691</v>
      </c>
      <c r="E55" s="10">
        <v>0</v>
      </c>
      <c r="F55" s="10">
        <v>-200</v>
      </c>
      <c r="G55" s="10"/>
      <c r="H55" s="30"/>
      <c r="I55" s="30"/>
      <c r="J55" s="30"/>
    </row>
    <row r="56" spans="1:10" ht="15" x14ac:dyDescent="0.2">
      <c r="A56" s="30"/>
      <c r="B56" s="1"/>
      <c r="C56" s="1" t="s">
        <v>98</v>
      </c>
      <c r="D56" s="1">
        <v>5463</v>
      </c>
      <c r="E56" s="10">
        <v>0</v>
      </c>
      <c r="F56" s="10">
        <v>-600</v>
      </c>
      <c r="G56" s="10"/>
      <c r="H56" s="30"/>
      <c r="I56" s="30"/>
      <c r="J56" s="30"/>
    </row>
    <row r="57" spans="1:10" ht="15" x14ac:dyDescent="0.2">
      <c r="A57" s="30"/>
      <c r="B57" s="1"/>
      <c r="C57" s="1" t="s">
        <v>99</v>
      </c>
      <c r="D57" s="1">
        <v>4027</v>
      </c>
      <c r="E57" s="10">
        <v>0</v>
      </c>
      <c r="F57" s="10">
        <v>-1500</v>
      </c>
      <c r="G57" s="10"/>
      <c r="H57" s="30"/>
      <c r="I57" s="30"/>
      <c r="J57" s="30"/>
    </row>
    <row r="58" spans="1:10" ht="15" x14ac:dyDescent="0.2">
      <c r="A58" s="30"/>
      <c r="B58" s="1"/>
      <c r="C58" s="1"/>
      <c r="D58" s="1"/>
      <c r="E58" s="10"/>
      <c r="F58" s="10"/>
      <c r="G58" s="10"/>
      <c r="H58" s="30"/>
      <c r="I58" s="30"/>
      <c r="J58" s="30"/>
    </row>
    <row r="59" spans="1:10" ht="14" x14ac:dyDescent="0.2">
      <c r="B59" s="1"/>
      <c r="C59" s="25" t="s">
        <v>80</v>
      </c>
      <c r="D59" s="1"/>
      <c r="E59" s="10">
        <f t="shared" ref="E59:F59" si="5">SUM(E50:E57)</f>
        <v>8490</v>
      </c>
      <c r="F59" s="10">
        <f t="shared" si="5"/>
        <v>-8176</v>
      </c>
      <c r="G59" s="10">
        <f>E59+F59</f>
        <v>314</v>
      </c>
    </row>
    <row r="60" spans="1:10" ht="15.75" customHeight="1" x14ac:dyDescent="0.15">
      <c r="E60" s="33"/>
      <c r="F60" s="33"/>
      <c r="G60" s="33"/>
    </row>
    <row r="61" spans="1:10" ht="14" x14ac:dyDescent="0.2">
      <c r="B61" s="25" t="s">
        <v>319</v>
      </c>
    </row>
    <row r="62" spans="1:10" ht="14" x14ac:dyDescent="0.2">
      <c r="B62" s="1"/>
      <c r="C62" s="1" t="s">
        <v>88</v>
      </c>
      <c r="D62" s="1" t="s">
        <v>89</v>
      </c>
      <c r="E62" s="10">
        <v>8490</v>
      </c>
      <c r="F62" s="10">
        <v>0</v>
      </c>
      <c r="G62" s="10"/>
    </row>
    <row r="63" spans="1:10" ht="14" x14ac:dyDescent="0.2">
      <c r="B63" s="1"/>
      <c r="C63" s="1" t="s">
        <v>91</v>
      </c>
      <c r="D63" s="1" t="s">
        <v>92</v>
      </c>
      <c r="E63" s="10">
        <v>0</v>
      </c>
      <c r="F63" s="10">
        <v>-2376</v>
      </c>
      <c r="G63" s="10"/>
    </row>
    <row r="64" spans="1:10" ht="14" x14ac:dyDescent="0.2">
      <c r="B64" s="1"/>
      <c r="C64" s="1" t="s">
        <v>94</v>
      </c>
      <c r="D64" s="1">
        <v>4029</v>
      </c>
      <c r="E64" s="10">
        <v>0</v>
      </c>
      <c r="F64" s="10">
        <v>-2400</v>
      </c>
      <c r="G64" s="10"/>
    </row>
    <row r="65" spans="2:7" ht="14" x14ac:dyDescent="0.2">
      <c r="B65" s="25"/>
      <c r="C65" s="1" t="s">
        <v>101</v>
      </c>
      <c r="D65" s="1">
        <v>5010</v>
      </c>
      <c r="E65" s="10">
        <v>0</v>
      </c>
      <c r="F65" s="10">
        <v>-600</v>
      </c>
      <c r="G65" s="10"/>
    </row>
    <row r="66" spans="2:7" ht="14" x14ac:dyDescent="0.2">
      <c r="B66" s="1"/>
      <c r="C66" s="1" t="s">
        <v>96</v>
      </c>
      <c r="D66" s="1">
        <v>5411</v>
      </c>
      <c r="E66" s="10">
        <v>0</v>
      </c>
      <c r="F66" s="10">
        <v>-500</v>
      </c>
      <c r="G66" s="10"/>
    </row>
    <row r="67" spans="2:7" ht="14" x14ac:dyDescent="0.2">
      <c r="B67" s="1"/>
      <c r="C67" s="1" t="s">
        <v>97</v>
      </c>
      <c r="D67" s="1">
        <v>7691</v>
      </c>
      <c r="E67" s="10">
        <v>0</v>
      </c>
      <c r="F67" s="10">
        <v>-200</v>
      </c>
      <c r="G67" s="10"/>
    </row>
    <row r="68" spans="2:7" ht="14" x14ac:dyDescent="0.2">
      <c r="B68" s="1"/>
      <c r="C68" s="1" t="s">
        <v>98</v>
      </c>
      <c r="D68" s="1">
        <v>5463</v>
      </c>
      <c r="E68" s="10">
        <v>0</v>
      </c>
      <c r="F68" s="10">
        <v>-600</v>
      </c>
      <c r="G68" s="10"/>
    </row>
    <row r="69" spans="2:7" ht="14" x14ac:dyDescent="0.2">
      <c r="B69" s="1"/>
      <c r="C69" s="1" t="s">
        <v>99</v>
      </c>
      <c r="D69" s="1">
        <v>4027</v>
      </c>
      <c r="E69" s="10">
        <v>0</v>
      </c>
      <c r="F69" s="10">
        <v>-1500</v>
      </c>
      <c r="G69" s="10"/>
    </row>
    <row r="70" spans="2:7" ht="14" x14ac:dyDescent="0.2">
      <c r="B70" s="1"/>
      <c r="C70" s="1"/>
      <c r="D70" s="1"/>
      <c r="E70" s="10"/>
      <c r="F70" s="10"/>
      <c r="G70" s="10"/>
    </row>
    <row r="71" spans="2:7" ht="14" x14ac:dyDescent="0.2">
      <c r="B71" s="1"/>
      <c r="C71" s="25" t="s">
        <v>80</v>
      </c>
      <c r="D71" s="1"/>
      <c r="E71" s="10">
        <f t="shared" ref="E71:F71" si="6">SUM(E62:E69)</f>
        <v>8490</v>
      </c>
      <c r="F71" s="10">
        <f t="shared" si="6"/>
        <v>-8176</v>
      </c>
      <c r="G71" s="10">
        <f>E71+F71</f>
        <v>314</v>
      </c>
    </row>
    <row r="72" spans="2:7" ht="13" x14ac:dyDescent="0.15">
      <c r="E72" s="33"/>
      <c r="F72" s="33"/>
      <c r="G72" s="33"/>
    </row>
    <row r="73" spans="2:7" ht="14" x14ac:dyDescent="0.2">
      <c r="B73" s="25" t="s">
        <v>320</v>
      </c>
      <c r="E73" s="33"/>
      <c r="F73" s="33"/>
      <c r="G73" s="33"/>
    </row>
    <row r="74" spans="2:7" ht="14" x14ac:dyDescent="0.2">
      <c r="C74" s="1" t="s">
        <v>88</v>
      </c>
      <c r="D74" s="1">
        <v>3041</v>
      </c>
      <c r="E74" s="10">
        <v>8900</v>
      </c>
      <c r="F74" s="10">
        <v>0</v>
      </c>
      <c r="G74" s="33"/>
    </row>
    <row r="75" spans="2:7" ht="14" x14ac:dyDescent="0.2">
      <c r="C75" s="1" t="s">
        <v>94</v>
      </c>
      <c r="D75" s="1">
        <v>4029</v>
      </c>
      <c r="E75" s="10">
        <v>0</v>
      </c>
      <c r="F75" s="10">
        <v>-6000</v>
      </c>
      <c r="G75" s="33"/>
    </row>
    <row r="76" spans="2:7" ht="14" x14ac:dyDescent="0.2">
      <c r="C76" s="1" t="s">
        <v>151</v>
      </c>
      <c r="D76" s="1">
        <v>5010</v>
      </c>
      <c r="E76" s="10">
        <v>0</v>
      </c>
      <c r="F76" s="10">
        <v>-1900</v>
      </c>
      <c r="G76" s="33"/>
    </row>
    <row r="77" spans="2:7" ht="14" x14ac:dyDescent="0.2">
      <c r="C77" s="1" t="s">
        <v>321</v>
      </c>
      <c r="D77" s="1">
        <v>5463</v>
      </c>
      <c r="E77" s="10">
        <v>0</v>
      </c>
      <c r="F77" s="10">
        <v>-600</v>
      </c>
      <c r="G77" s="33"/>
    </row>
    <row r="78" spans="2:7" ht="14" x14ac:dyDescent="0.2">
      <c r="C78" s="1" t="s">
        <v>322</v>
      </c>
      <c r="D78" s="1">
        <v>5350</v>
      </c>
      <c r="E78" s="10">
        <v>0</v>
      </c>
      <c r="F78" s="10">
        <v>-400</v>
      </c>
      <c r="G78" s="33"/>
    </row>
    <row r="79" spans="2:7" ht="13" x14ac:dyDescent="0.15">
      <c r="E79" s="33"/>
      <c r="F79" s="33"/>
      <c r="G79" s="33"/>
    </row>
    <row r="80" spans="2:7" ht="14" x14ac:dyDescent="0.2">
      <c r="C80" s="25" t="s">
        <v>80</v>
      </c>
      <c r="D80" s="1"/>
      <c r="E80" s="10">
        <f t="shared" ref="E80:F80" si="7">SUM(E74:E78)</f>
        <v>8900</v>
      </c>
      <c r="F80" s="10">
        <f t="shared" si="7"/>
        <v>-8900</v>
      </c>
      <c r="G80" s="10">
        <f>E80+F80</f>
        <v>0</v>
      </c>
    </row>
    <row r="81" spans="3:7" ht="13" x14ac:dyDescent="0.15">
      <c r="E81" s="33"/>
      <c r="F81" s="33"/>
      <c r="G81" s="33"/>
    </row>
    <row r="82" spans="3:7" ht="14" x14ac:dyDescent="0.2">
      <c r="C82" s="25" t="s">
        <v>102</v>
      </c>
      <c r="D82" s="1"/>
      <c r="E82" s="8">
        <f t="shared" ref="E82:F82" si="8">SUMIFS(E2:E80,$C2:$C80,"Subsubtotal")</f>
        <v>47860</v>
      </c>
      <c r="F82" s="31">
        <f t="shared" si="8"/>
        <v>-80304</v>
      </c>
      <c r="G82" s="10">
        <f>SUM(G2:G79)</f>
        <v>-32444</v>
      </c>
    </row>
    <row r="83" spans="3:7" ht="13" x14ac:dyDescent="0.15">
      <c r="E83" s="33"/>
      <c r="F83" s="33"/>
      <c r="G83" s="33"/>
    </row>
    <row r="84" spans="3:7" ht="13" x14ac:dyDescent="0.15">
      <c r="E84" s="33"/>
      <c r="F84" s="33"/>
      <c r="G84" s="33"/>
    </row>
    <row r="85" spans="3:7" ht="14" x14ac:dyDescent="0.2">
      <c r="E85" s="10"/>
      <c r="F85" s="10"/>
      <c r="G85" s="10"/>
    </row>
    <row r="86" spans="3:7" ht="14" x14ac:dyDescent="0.2">
      <c r="E86" s="10"/>
      <c r="F86" s="10"/>
      <c r="G86" s="10"/>
    </row>
    <row r="87" spans="3:7" ht="14" x14ac:dyDescent="0.2">
      <c r="E87" s="10"/>
      <c r="F87" s="10"/>
      <c r="G87" s="10"/>
    </row>
    <row r="88" spans="3:7" ht="14" x14ac:dyDescent="0.2">
      <c r="E88" s="10"/>
      <c r="F88" s="10"/>
      <c r="G88" s="10"/>
    </row>
    <row r="89" spans="3:7" ht="14" x14ac:dyDescent="0.2">
      <c r="E89" s="10"/>
      <c r="F89" s="10"/>
      <c r="G89" s="10"/>
    </row>
    <row r="90" spans="3:7" ht="14" x14ac:dyDescent="0.2">
      <c r="E90" s="10"/>
      <c r="F90" s="10"/>
      <c r="G90" s="10"/>
    </row>
    <row r="91" spans="3:7" ht="14" x14ac:dyDescent="0.2">
      <c r="E91" s="10"/>
      <c r="F91" s="10"/>
      <c r="G91" s="10"/>
    </row>
    <row r="92" spans="3:7" ht="14" x14ac:dyDescent="0.2">
      <c r="E92" s="10"/>
      <c r="F92" s="10"/>
      <c r="G92" s="10"/>
    </row>
    <row r="93" spans="3:7" ht="14" x14ac:dyDescent="0.2">
      <c r="E93" s="10"/>
      <c r="F93" s="10"/>
      <c r="G93" s="10"/>
    </row>
    <row r="94" spans="3:7" ht="14" x14ac:dyDescent="0.2">
      <c r="E94" s="10"/>
      <c r="F94" s="10"/>
      <c r="G94" s="10"/>
    </row>
    <row r="95" spans="3:7" ht="14" x14ac:dyDescent="0.2">
      <c r="E95" s="10"/>
      <c r="F95" s="10"/>
      <c r="G95" s="10"/>
    </row>
    <row r="96" spans="3:7" ht="14" x14ac:dyDescent="0.2">
      <c r="E96" s="10"/>
      <c r="F96" s="10"/>
      <c r="G96" s="10"/>
    </row>
    <row r="97" spans="5:7" ht="14" x14ac:dyDescent="0.2">
      <c r="E97" s="10"/>
      <c r="F97" s="10"/>
      <c r="G97" s="10"/>
    </row>
    <row r="98" spans="5:7" ht="14" x14ac:dyDescent="0.2">
      <c r="E98" s="10"/>
      <c r="F98" s="10"/>
      <c r="G98" s="10"/>
    </row>
    <row r="99" spans="5:7" ht="14" x14ac:dyDescent="0.2">
      <c r="E99" s="10"/>
      <c r="F99" s="10"/>
      <c r="G99" s="10"/>
    </row>
    <row r="100" spans="5:7" ht="14" x14ac:dyDescent="0.2">
      <c r="E100" s="10"/>
      <c r="F100" s="10"/>
      <c r="G100" s="10"/>
    </row>
    <row r="101" spans="5:7" ht="14" x14ac:dyDescent="0.2">
      <c r="E101" s="10"/>
      <c r="F101" s="10"/>
      <c r="G101" s="10"/>
    </row>
    <row r="102" spans="5:7" ht="14" x14ac:dyDescent="0.2">
      <c r="E102" s="10"/>
      <c r="F102" s="10"/>
      <c r="G102" s="10"/>
    </row>
    <row r="103" spans="5:7" ht="14" x14ac:dyDescent="0.2">
      <c r="E103" s="10"/>
      <c r="F103" s="10"/>
      <c r="G103" s="10"/>
    </row>
    <row r="104" spans="5:7" ht="14" x14ac:dyDescent="0.2">
      <c r="E104" s="10"/>
      <c r="F104" s="10"/>
      <c r="G104" s="10"/>
    </row>
    <row r="105" spans="5:7" ht="14" x14ac:dyDescent="0.2">
      <c r="E105" s="10"/>
      <c r="F105" s="10"/>
      <c r="G105" s="10"/>
    </row>
    <row r="106" spans="5:7" ht="14" x14ac:dyDescent="0.2">
      <c r="E106" s="10"/>
      <c r="F106" s="10"/>
      <c r="G106" s="10"/>
    </row>
    <row r="107" spans="5:7" ht="14" x14ac:dyDescent="0.2">
      <c r="E107" s="10"/>
      <c r="F107" s="10"/>
      <c r="G107" s="10"/>
    </row>
    <row r="108" spans="5:7" ht="14" x14ac:dyDescent="0.2">
      <c r="E108" s="10"/>
      <c r="F108" s="10"/>
      <c r="G108" s="10"/>
    </row>
    <row r="109" spans="5:7" ht="14" x14ac:dyDescent="0.2">
      <c r="E109" s="10"/>
      <c r="F109" s="10"/>
      <c r="G109" s="10"/>
    </row>
    <row r="110" spans="5:7" ht="14" x14ac:dyDescent="0.2">
      <c r="E110" s="10"/>
      <c r="F110" s="10"/>
      <c r="G110" s="10"/>
    </row>
    <row r="111" spans="5:7" ht="14" x14ac:dyDescent="0.2">
      <c r="E111" s="10"/>
      <c r="F111" s="10"/>
      <c r="G111" s="10"/>
    </row>
    <row r="112" spans="5:7" ht="14" x14ac:dyDescent="0.2">
      <c r="E112" s="10"/>
      <c r="F112" s="10"/>
      <c r="G112" s="10"/>
    </row>
    <row r="113" spans="5:7" ht="14" x14ac:dyDescent="0.2">
      <c r="E113" s="10"/>
      <c r="F113" s="10"/>
      <c r="G113" s="10"/>
    </row>
    <row r="114" spans="5:7" ht="14" x14ac:dyDescent="0.2">
      <c r="E114" s="10"/>
      <c r="F114" s="10"/>
      <c r="G114" s="10"/>
    </row>
    <row r="115" spans="5:7" ht="14" x14ac:dyDescent="0.2">
      <c r="E115" s="10"/>
      <c r="F115" s="10"/>
      <c r="G115" s="10"/>
    </row>
    <row r="116" spans="5:7" ht="14" x14ac:dyDescent="0.2">
      <c r="E116" s="10"/>
      <c r="F116" s="10"/>
      <c r="G116" s="10"/>
    </row>
    <row r="117" spans="5:7" ht="14" x14ac:dyDescent="0.2">
      <c r="E117" s="10"/>
      <c r="F117" s="10"/>
      <c r="G117" s="10"/>
    </row>
    <row r="118" spans="5:7" ht="14" x14ac:dyDescent="0.2">
      <c r="E118" s="10"/>
      <c r="F118" s="10"/>
      <c r="G118" s="10"/>
    </row>
    <row r="119" spans="5:7" ht="14" x14ac:dyDescent="0.2">
      <c r="E119" s="10"/>
      <c r="F119" s="10"/>
      <c r="G119" s="10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  <row r="721" spans="5:7" ht="13" x14ac:dyDescent="0.15">
      <c r="E721" s="33"/>
      <c r="F721" s="33"/>
      <c r="G721" s="33"/>
    </row>
    <row r="722" spans="5:7" ht="13" x14ac:dyDescent="0.15">
      <c r="E722" s="33"/>
      <c r="F722" s="33"/>
      <c r="G722" s="33"/>
    </row>
    <row r="723" spans="5:7" ht="13" x14ac:dyDescent="0.15">
      <c r="E723" s="33"/>
      <c r="F723" s="33"/>
      <c r="G723" s="33"/>
    </row>
    <row r="724" spans="5:7" ht="13" x14ac:dyDescent="0.15">
      <c r="E724" s="33"/>
      <c r="F724" s="33"/>
      <c r="G724" s="33"/>
    </row>
    <row r="725" spans="5:7" ht="13" x14ac:dyDescent="0.15">
      <c r="E725" s="33"/>
      <c r="F725" s="33"/>
      <c r="G725" s="33"/>
    </row>
    <row r="726" spans="5:7" ht="13" x14ac:dyDescent="0.15">
      <c r="E726" s="33"/>
      <c r="F726" s="33"/>
      <c r="G726" s="33"/>
    </row>
    <row r="727" spans="5:7" ht="13" x14ac:dyDescent="0.15">
      <c r="E727" s="33"/>
      <c r="F727" s="33"/>
      <c r="G727" s="33"/>
    </row>
    <row r="728" spans="5:7" ht="13" x14ac:dyDescent="0.15">
      <c r="E728" s="33"/>
      <c r="F728" s="33"/>
      <c r="G728" s="33"/>
    </row>
    <row r="729" spans="5:7" ht="13" x14ac:dyDescent="0.15">
      <c r="E729" s="33"/>
      <c r="F729" s="33"/>
      <c r="G729" s="33"/>
    </row>
    <row r="730" spans="5:7" ht="13" x14ac:dyDescent="0.15">
      <c r="E730" s="33"/>
      <c r="F730" s="33"/>
      <c r="G730" s="33"/>
    </row>
    <row r="731" spans="5:7" ht="13" x14ac:dyDescent="0.15">
      <c r="E731" s="33"/>
      <c r="F731" s="33"/>
      <c r="G731" s="33"/>
    </row>
    <row r="732" spans="5:7" ht="13" x14ac:dyDescent="0.15">
      <c r="E732" s="33"/>
      <c r="F732" s="33"/>
      <c r="G732" s="33"/>
    </row>
    <row r="733" spans="5:7" ht="13" x14ac:dyDescent="0.15">
      <c r="E733" s="33"/>
      <c r="F733" s="33"/>
      <c r="G733" s="33"/>
    </row>
    <row r="734" spans="5:7" ht="13" x14ac:dyDescent="0.15">
      <c r="E734" s="33"/>
      <c r="F734" s="33"/>
      <c r="G734" s="33"/>
    </row>
    <row r="735" spans="5:7" ht="13" x14ac:dyDescent="0.15">
      <c r="E735" s="33"/>
      <c r="F735" s="33"/>
      <c r="G735" s="33"/>
    </row>
    <row r="736" spans="5:7" ht="13" x14ac:dyDescent="0.15">
      <c r="E736" s="33"/>
      <c r="F736" s="33"/>
      <c r="G736" s="33"/>
    </row>
    <row r="737" spans="5:7" ht="13" x14ac:dyDescent="0.15">
      <c r="E737" s="33"/>
      <c r="F737" s="33"/>
      <c r="G737" s="33"/>
    </row>
    <row r="738" spans="5:7" ht="13" x14ac:dyDescent="0.15">
      <c r="E738" s="33"/>
      <c r="F738" s="33"/>
      <c r="G738" s="33"/>
    </row>
    <row r="739" spans="5:7" ht="13" x14ac:dyDescent="0.15">
      <c r="E739" s="33"/>
      <c r="F739" s="33"/>
      <c r="G739" s="33"/>
    </row>
    <row r="740" spans="5:7" ht="13" x14ac:dyDescent="0.15">
      <c r="E740" s="33"/>
      <c r="F740" s="33"/>
      <c r="G740" s="33"/>
    </row>
    <row r="741" spans="5:7" ht="13" x14ac:dyDescent="0.15">
      <c r="E741" s="33"/>
      <c r="F741" s="33"/>
      <c r="G741" s="33"/>
    </row>
    <row r="742" spans="5:7" ht="13" x14ac:dyDescent="0.15">
      <c r="E742" s="33"/>
      <c r="F742" s="33"/>
      <c r="G742" s="33"/>
    </row>
    <row r="743" spans="5:7" ht="13" x14ac:dyDescent="0.15">
      <c r="E743" s="33"/>
      <c r="F743" s="33"/>
      <c r="G743" s="33"/>
    </row>
    <row r="744" spans="5:7" ht="13" x14ac:dyDescent="0.15">
      <c r="E744" s="33"/>
      <c r="F744" s="33"/>
      <c r="G744" s="33"/>
    </row>
    <row r="745" spans="5:7" ht="13" x14ac:dyDescent="0.15">
      <c r="E745" s="33"/>
      <c r="F745" s="33"/>
      <c r="G745" s="33"/>
    </row>
    <row r="746" spans="5:7" ht="13" x14ac:dyDescent="0.15">
      <c r="E746" s="33"/>
      <c r="F746" s="33"/>
      <c r="G746" s="33"/>
    </row>
    <row r="747" spans="5:7" ht="13" x14ac:dyDescent="0.15">
      <c r="E747" s="33"/>
      <c r="F747" s="33"/>
      <c r="G747" s="33"/>
    </row>
    <row r="748" spans="5:7" ht="13" x14ac:dyDescent="0.15">
      <c r="E748" s="33"/>
      <c r="F748" s="33"/>
      <c r="G748" s="33"/>
    </row>
    <row r="749" spans="5:7" ht="13" x14ac:dyDescent="0.15">
      <c r="E749" s="33"/>
      <c r="F749" s="33"/>
      <c r="G749" s="33"/>
    </row>
    <row r="750" spans="5:7" ht="13" x14ac:dyDescent="0.15">
      <c r="E750" s="33"/>
      <c r="F750" s="33"/>
      <c r="G750" s="33"/>
    </row>
    <row r="751" spans="5:7" ht="13" x14ac:dyDescent="0.15">
      <c r="E751" s="33"/>
      <c r="F751" s="33"/>
      <c r="G751" s="33"/>
    </row>
    <row r="752" spans="5:7" ht="13" x14ac:dyDescent="0.15">
      <c r="E752" s="33"/>
      <c r="F752" s="33"/>
      <c r="G752" s="33"/>
    </row>
    <row r="753" spans="5:7" ht="13" x14ac:dyDescent="0.15">
      <c r="E753" s="33"/>
      <c r="F753" s="33"/>
      <c r="G753" s="33"/>
    </row>
    <row r="754" spans="5:7" ht="13" x14ac:dyDescent="0.15">
      <c r="E754" s="33"/>
      <c r="F754" s="33"/>
      <c r="G754" s="33"/>
    </row>
    <row r="755" spans="5:7" ht="13" x14ac:dyDescent="0.15">
      <c r="E755" s="33"/>
      <c r="F755" s="33"/>
      <c r="G755" s="33"/>
    </row>
    <row r="756" spans="5:7" ht="13" x14ac:dyDescent="0.15">
      <c r="E756" s="33"/>
      <c r="F756" s="33"/>
      <c r="G756" s="33"/>
    </row>
    <row r="757" spans="5:7" ht="13" x14ac:dyDescent="0.15">
      <c r="E757" s="33"/>
      <c r="F757" s="33"/>
      <c r="G757" s="33"/>
    </row>
    <row r="758" spans="5:7" ht="13" x14ac:dyDescent="0.15">
      <c r="E758" s="33"/>
      <c r="F758" s="33"/>
      <c r="G758" s="33"/>
    </row>
    <row r="759" spans="5:7" ht="13" x14ac:dyDescent="0.15">
      <c r="E759" s="33"/>
      <c r="F759" s="33"/>
      <c r="G759" s="33"/>
    </row>
    <row r="760" spans="5:7" ht="13" x14ac:dyDescent="0.15">
      <c r="E760" s="33"/>
      <c r="F760" s="33"/>
      <c r="G760" s="33"/>
    </row>
    <row r="761" spans="5:7" ht="13" x14ac:dyDescent="0.15">
      <c r="E761" s="33"/>
      <c r="F761" s="33"/>
      <c r="G761" s="33"/>
    </row>
    <row r="762" spans="5:7" ht="13" x14ac:dyDescent="0.15">
      <c r="E762" s="33"/>
      <c r="F762" s="33"/>
      <c r="G762" s="33"/>
    </row>
    <row r="763" spans="5:7" ht="13" x14ac:dyDescent="0.15">
      <c r="E763" s="33"/>
      <c r="F763" s="33"/>
      <c r="G763" s="33"/>
    </row>
    <row r="764" spans="5:7" ht="13" x14ac:dyDescent="0.15">
      <c r="E764" s="33"/>
      <c r="F764" s="33"/>
      <c r="G764" s="33"/>
    </row>
    <row r="765" spans="5:7" ht="13" x14ac:dyDescent="0.15">
      <c r="E765" s="33"/>
      <c r="F765" s="33"/>
      <c r="G765" s="33"/>
    </row>
    <row r="766" spans="5:7" ht="13" x14ac:dyDescent="0.15">
      <c r="E766" s="33"/>
      <c r="F766" s="33"/>
      <c r="G766" s="33"/>
    </row>
    <row r="767" spans="5:7" ht="13" x14ac:dyDescent="0.15">
      <c r="E767" s="33"/>
      <c r="F767" s="33"/>
      <c r="G767" s="33"/>
    </row>
    <row r="768" spans="5:7" ht="13" x14ac:dyDescent="0.15">
      <c r="E768" s="33"/>
      <c r="F768" s="33"/>
      <c r="G768" s="33"/>
    </row>
    <row r="769" spans="5:7" ht="13" x14ac:dyDescent="0.15">
      <c r="E769" s="33"/>
      <c r="F769" s="33"/>
      <c r="G769" s="33"/>
    </row>
    <row r="770" spans="5:7" ht="13" x14ac:dyDescent="0.15">
      <c r="E770" s="33"/>
      <c r="F770" s="33"/>
      <c r="G770" s="33"/>
    </row>
    <row r="771" spans="5:7" ht="13" x14ac:dyDescent="0.15">
      <c r="E771" s="33"/>
      <c r="F771" s="33"/>
      <c r="G771" s="33"/>
    </row>
    <row r="772" spans="5:7" ht="13" x14ac:dyDescent="0.15">
      <c r="E772" s="33"/>
      <c r="F772" s="33"/>
      <c r="G772" s="33"/>
    </row>
    <row r="773" spans="5:7" ht="13" x14ac:dyDescent="0.15">
      <c r="E773" s="33"/>
      <c r="F773" s="33"/>
      <c r="G773" s="33"/>
    </row>
    <row r="774" spans="5:7" ht="13" x14ac:dyDescent="0.15">
      <c r="E774" s="33"/>
      <c r="F774" s="33"/>
      <c r="G774" s="33"/>
    </row>
    <row r="775" spans="5:7" ht="13" x14ac:dyDescent="0.15">
      <c r="E775" s="33"/>
      <c r="F775" s="33"/>
      <c r="G775" s="33"/>
    </row>
    <row r="776" spans="5:7" ht="13" x14ac:dyDescent="0.15">
      <c r="E776" s="33"/>
      <c r="F776" s="33"/>
      <c r="G776" s="33"/>
    </row>
    <row r="777" spans="5:7" ht="13" x14ac:dyDescent="0.15">
      <c r="E777" s="33"/>
      <c r="F777" s="33"/>
      <c r="G777" s="33"/>
    </row>
    <row r="778" spans="5:7" ht="13" x14ac:dyDescent="0.15">
      <c r="E778" s="33"/>
      <c r="F778" s="33"/>
      <c r="G778" s="33"/>
    </row>
    <row r="779" spans="5:7" ht="13" x14ac:dyDescent="0.15">
      <c r="E779" s="33"/>
      <c r="F779" s="33"/>
      <c r="G779" s="33"/>
    </row>
    <row r="780" spans="5:7" ht="13" x14ac:dyDescent="0.15">
      <c r="E780" s="33"/>
      <c r="F780" s="33"/>
      <c r="G780" s="33"/>
    </row>
    <row r="781" spans="5:7" ht="13" x14ac:dyDescent="0.15">
      <c r="E781" s="33"/>
      <c r="F781" s="33"/>
      <c r="G781" s="33"/>
    </row>
    <row r="782" spans="5:7" ht="13" x14ac:dyDescent="0.15">
      <c r="E782" s="33"/>
      <c r="F782" s="33"/>
      <c r="G782" s="33"/>
    </row>
    <row r="783" spans="5:7" ht="13" x14ac:dyDescent="0.15">
      <c r="E783" s="33"/>
      <c r="F783" s="33"/>
      <c r="G783" s="33"/>
    </row>
  </sheetData>
  <conditionalFormatting sqref="E2:G783">
    <cfRule type="cellIs" dxfId="72" priority="1" operator="greaterThan">
      <formula>0</formula>
    </cfRule>
    <cfRule type="cellIs" dxfId="71" priority="2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721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323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78</v>
      </c>
      <c r="D4" s="1">
        <v>4045</v>
      </c>
      <c r="E4" s="10">
        <v>0</v>
      </c>
      <c r="F4" s="10">
        <v>-2000</v>
      </c>
      <c r="G4" s="10"/>
      <c r="H4" s="30"/>
      <c r="I4" s="30" t="s">
        <v>324</v>
      </c>
      <c r="J4" s="30"/>
    </row>
    <row r="5" spans="1:10" ht="15" x14ac:dyDescent="0.2">
      <c r="A5" s="1"/>
      <c r="B5" s="1"/>
      <c r="C5" s="1" t="s">
        <v>325</v>
      </c>
      <c r="D5" s="1">
        <v>5411</v>
      </c>
      <c r="E5" s="10">
        <v>0</v>
      </c>
      <c r="F5" s="10">
        <v>-2000</v>
      </c>
      <c r="G5" s="10"/>
      <c r="H5" s="30"/>
      <c r="I5" s="30"/>
      <c r="J5" s="30"/>
    </row>
    <row r="6" spans="1:10" ht="15" x14ac:dyDescent="0.2">
      <c r="A6" s="1"/>
      <c r="B6" s="1"/>
      <c r="C6" s="1"/>
      <c r="D6" s="1"/>
      <c r="E6" s="10"/>
      <c r="F6" s="10"/>
      <c r="G6" s="10"/>
      <c r="H6" s="30"/>
      <c r="I6" s="30"/>
      <c r="J6" s="30"/>
    </row>
    <row r="7" spans="1:10" ht="15" x14ac:dyDescent="0.2">
      <c r="A7" s="1"/>
      <c r="B7" s="1"/>
      <c r="C7" s="25" t="s">
        <v>80</v>
      </c>
      <c r="D7" s="1"/>
      <c r="E7" s="10">
        <f t="shared" ref="E7:F7" si="0">SUM(E4:E5)</f>
        <v>0</v>
      </c>
      <c r="F7" s="10">
        <f t="shared" si="0"/>
        <v>-4000</v>
      </c>
      <c r="G7" s="10">
        <f>E7+F7</f>
        <v>-4000</v>
      </c>
      <c r="H7" s="30"/>
      <c r="I7" s="30"/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30"/>
      <c r="I8" s="30"/>
      <c r="J8" s="30"/>
    </row>
    <row r="9" spans="1:10" ht="15" x14ac:dyDescent="0.2">
      <c r="A9" s="1"/>
      <c r="B9" s="25" t="s">
        <v>122</v>
      </c>
      <c r="C9" s="1"/>
      <c r="D9" s="1"/>
      <c r="E9" s="10"/>
      <c r="F9" s="10"/>
      <c r="G9" s="10"/>
      <c r="H9" s="30"/>
      <c r="I9" s="30"/>
      <c r="J9" s="30"/>
    </row>
    <row r="10" spans="1:10" ht="15" x14ac:dyDescent="0.2">
      <c r="A10" s="1"/>
      <c r="B10" s="1"/>
      <c r="C10" s="1" t="s">
        <v>172</v>
      </c>
      <c r="D10" s="1">
        <v>4029</v>
      </c>
      <c r="E10" s="10">
        <v>0</v>
      </c>
      <c r="F10" s="10">
        <v>-8000</v>
      </c>
      <c r="G10" s="10"/>
      <c r="H10" s="30"/>
      <c r="I10" s="30"/>
      <c r="J10" s="30"/>
    </row>
    <row r="11" spans="1:10" ht="15" x14ac:dyDescent="0.2">
      <c r="A11" s="1"/>
      <c r="B11" s="1"/>
      <c r="C11" s="1"/>
      <c r="D11" s="1"/>
      <c r="E11" s="10"/>
      <c r="F11" s="10"/>
      <c r="G11" s="10"/>
      <c r="H11" s="30"/>
      <c r="I11" s="30"/>
      <c r="J11" s="30"/>
    </row>
    <row r="12" spans="1:10" ht="15" x14ac:dyDescent="0.2">
      <c r="A12" s="1"/>
      <c r="B12" s="1"/>
      <c r="C12" s="25" t="s">
        <v>80</v>
      </c>
      <c r="D12" s="1"/>
      <c r="E12" s="10">
        <f t="shared" ref="E12:F12" si="1">E10</f>
        <v>0</v>
      </c>
      <c r="F12" s="10">
        <f t="shared" si="1"/>
        <v>-8000</v>
      </c>
      <c r="G12" s="10">
        <f>E12+F12</f>
        <v>-8000</v>
      </c>
      <c r="H12" s="30"/>
      <c r="I12" s="30"/>
      <c r="J12" s="30"/>
    </row>
    <row r="13" spans="1:10" ht="15" x14ac:dyDescent="0.2">
      <c r="A13" s="1"/>
      <c r="B13" s="1"/>
      <c r="C13" s="1"/>
      <c r="D13" s="1"/>
      <c r="E13" s="10"/>
      <c r="F13" s="10"/>
      <c r="G13" s="10"/>
      <c r="H13" s="30"/>
      <c r="I13" s="30"/>
      <c r="J13" s="30"/>
    </row>
    <row r="14" spans="1:10" ht="15" x14ac:dyDescent="0.2">
      <c r="A14" s="1"/>
      <c r="B14" s="25" t="s">
        <v>81</v>
      </c>
      <c r="H14" s="30"/>
      <c r="I14" s="30"/>
      <c r="J14" s="30"/>
    </row>
    <row r="15" spans="1:10" ht="15" x14ac:dyDescent="0.2">
      <c r="A15" s="1"/>
      <c r="B15" s="1"/>
      <c r="C15" s="1" t="s">
        <v>82</v>
      </c>
      <c r="D15" s="1">
        <v>7631</v>
      </c>
      <c r="E15" s="10">
        <v>0</v>
      </c>
      <c r="F15" s="10">
        <v>-750</v>
      </c>
      <c r="G15" s="10"/>
      <c r="H15" s="30"/>
      <c r="I15" s="30"/>
      <c r="J15" s="30"/>
    </row>
    <row r="16" spans="1:10" ht="15" x14ac:dyDescent="0.2">
      <c r="A16" s="1"/>
      <c r="B16" s="1"/>
      <c r="C16" s="1" t="s">
        <v>83</v>
      </c>
      <c r="D16" s="1">
        <v>7691</v>
      </c>
      <c r="E16" s="10">
        <v>0</v>
      </c>
      <c r="F16" s="10">
        <v>-450</v>
      </c>
      <c r="G16" s="10"/>
      <c r="H16" s="30"/>
      <c r="I16" s="30"/>
      <c r="J16" s="30"/>
    </row>
    <row r="17" spans="1:10" ht="15" x14ac:dyDescent="0.2">
      <c r="A17" s="1"/>
      <c r="B17" s="1"/>
      <c r="C17" s="1"/>
      <c r="D17" s="1"/>
      <c r="E17" s="10"/>
      <c r="F17" s="10"/>
      <c r="G17" s="10"/>
      <c r="H17" s="30"/>
      <c r="I17" s="30"/>
      <c r="J17" s="30"/>
    </row>
    <row r="18" spans="1:10" ht="15" x14ac:dyDescent="0.2">
      <c r="A18" s="1"/>
      <c r="B18" s="25"/>
      <c r="C18" s="25" t="s">
        <v>80</v>
      </c>
      <c r="D18" s="1"/>
      <c r="E18" s="10">
        <f t="shared" ref="E18:F18" si="2">SUM(E15:E16)</f>
        <v>0</v>
      </c>
      <c r="F18" s="10">
        <f t="shared" si="2"/>
        <v>-1200</v>
      </c>
      <c r="G18" s="10">
        <f>E18+F18</f>
        <v>-1200</v>
      </c>
      <c r="H18" s="30"/>
      <c r="I18" s="30"/>
      <c r="J18" s="30"/>
    </row>
    <row r="19" spans="1:10" ht="15" x14ac:dyDescent="0.2">
      <c r="A19" s="1"/>
      <c r="B19" s="1"/>
      <c r="C19" s="1"/>
      <c r="D19" s="1"/>
      <c r="E19" s="10"/>
      <c r="F19" s="10"/>
      <c r="G19" s="10"/>
      <c r="H19" s="30"/>
      <c r="I19" s="30"/>
      <c r="J19" s="30"/>
    </row>
    <row r="20" spans="1:10" ht="14" x14ac:dyDescent="0.2">
      <c r="C20" s="25" t="s">
        <v>102</v>
      </c>
      <c r="D20" s="1"/>
      <c r="E20" s="8">
        <f t="shared" ref="E20:F20" si="3">SUMIFS(E2:E19,$C2:$C19,"Subsubtotal")</f>
        <v>0</v>
      </c>
      <c r="F20" s="31">
        <f t="shared" si="3"/>
        <v>-13200</v>
      </c>
      <c r="G20" s="10">
        <f>SUM(G2:G19)</f>
        <v>-13200</v>
      </c>
    </row>
    <row r="21" spans="1:10" ht="15.75" customHeight="1" x14ac:dyDescent="0.15">
      <c r="E21" s="33"/>
      <c r="F21" s="33"/>
      <c r="G21" s="33"/>
    </row>
    <row r="22" spans="1:10" ht="15.75" customHeight="1" x14ac:dyDescent="0.15">
      <c r="E22" s="33"/>
      <c r="F22" s="33"/>
      <c r="G22" s="33"/>
    </row>
    <row r="23" spans="1:10" ht="14" x14ac:dyDescent="0.2">
      <c r="E23" s="10"/>
      <c r="F23" s="10"/>
      <c r="G23" s="10"/>
    </row>
    <row r="24" spans="1:10" ht="14" x14ac:dyDescent="0.2">
      <c r="E24" s="10"/>
      <c r="F24" s="10"/>
      <c r="G24" s="10"/>
    </row>
    <row r="25" spans="1:10" ht="14" x14ac:dyDescent="0.2">
      <c r="E25" s="10"/>
      <c r="F25" s="10"/>
      <c r="G25" s="10"/>
    </row>
    <row r="26" spans="1:10" ht="14" x14ac:dyDescent="0.2">
      <c r="E26" s="10"/>
      <c r="F26" s="10"/>
      <c r="G26" s="10"/>
    </row>
    <row r="27" spans="1:10" ht="14" x14ac:dyDescent="0.2">
      <c r="E27" s="10"/>
      <c r="F27" s="10"/>
      <c r="G27" s="10"/>
    </row>
    <row r="28" spans="1:10" ht="14" x14ac:dyDescent="0.2">
      <c r="E28" s="10"/>
      <c r="F28" s="10"/>
      <c r="G28" s="10"/>
    </row>
    <row r="29" spans="1:10" ht="14" x14ac:dyDescent="0.2">
      <c r="E29" s="10"/>
      <c r="F29" s="10"/>
      <c r="G29" s="10"/>
    </row>
    <row r="30" spans="1:10" ht="14" x14ac:dyDescent="0.2">
      <c r="E30" s="10"/>
      <c r="F30" s="10"/>
      <c r="G30" s="10"/>
    </row>
    <row r="31" spans="1:10" ht="14" x14ac:dyDescent="0.2">
      <c r="E31" s="10"/>
      <c r="F31" s="10"/>
      <c r="G31" s="10"/>
    </row>
    <row r="32" spans="1:10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4" x14ac:dyDescent="0.2">
      <c r="E55" s="10"/>
      <c r="F55" s="10"/>
      <c r="G55" s="10"/>
    </row>
    <row r="56" spans="5:7" ht="14" x14ac:dyDescent="0.2">
      <c r="E56" s="10"/>
      <c r="F56" s="10"/>
      <c r="G56" s="10"/>
    </row>
    <row r="57" spans="5:7" ht="14" x14ac:dyDescent="0.2">
      <c r="E57" s="10"/>
      <c r="F57" s="10"/>
      <c r="G57" s="10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  <row r="721" spans="5:7" ht="13" x14ac:dyDescent="0.15">
      <c r="E721" s="33"/>
      <c r="F721" s="33"/>
      <c r="G721" s="33"/>
    </row>
  </sheetData>
  <conditionalFormatting sqref="E2:G721">
    <cfRule type="cellIs" dxfId="70" priority="1" operator="greaterThan">
      <formula>0</formula>
    </cfRule>
    <cfRule type="cellIs" dxfId="69" priority="2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11"/>
  <sheetViews>
    <sheetView workbookViewId="0">
      <selection activeCell="C1" sqref="C1"/>
    </sheetView>
  </sheetViews>
  <sheetFormatPr baseColWidth="10" defaultColWidth="12.6640625" defaultRowHeight="15.75" customHeight="1" x14ac:dyDescent="0.15"/>
  <cols>
    <col min="1" max="1" width="27" customWidth="1"/>
    <col min="2" max="2" width="25" customWidth="1"/>
    <col min="3" max="3" width="12.832031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</row>
    <row r="2" spans="1:10" ht="15.75" customHeight="1" x14ac:dyDescent="0.25">
      <c r="A2" s="26" t="s">
        <v>37</v>
      </c>
      <c r="B2" s="28"/>
      <c r="C2" s="28"/>
      <c r="D2" s="28"/>
      <c r="E2" s="29"/>
      <c r="F2" s="29"/>
      <c r="G2" s="29"/>
      <c r="H2" s="28"/>
      <c r="I2" s="28"/>
    </row>
    <row r="3" spans="1:10" ht="15" x14ac:dyDescent="0.2">
      <c r="A3" s="1" t="s">
        <v>76</v>
      </c>
      <c r="B3" s="25"/>
      <c r="C3" s="1"/>
      <c r="D3" s="1"/>
      <c r="E3" s="10"/>
      <c r="F3" s="10"/>
      <c r="G3" s="10"/>
      <c r="H3" s="1"/>
      <c r="I3" s="1"/>
      <c r="J3" s="30"/>
    </row>
    <row r="4" spans="1:10" ht="15" x14ac:dyDescent="0.2">
      <c r="A4" s="1"/>
      <c r="B4" s="25" t="s">
        <v>81</v>
      </c>
      <c r="C4" s="1"/>
      <c r="D4" s="1"/>
      <c r="E4" s="10"/>
      <c r="F4" s="10"/>
      <c r="G4" s="10"/>
      <c r="H4" s="1"/>
      <c r="I4" s="1"/>
      <c r="J4" s="30"/>
    </row>
    <row r="5" spans="1:10" ht="15" x14ac:dyDescent="0.2">
      <c r="A5" s="1"/>
      <c r="B5" s="1"/>
      <c r="C5" s="1" t="s">
        <v>82</v>
      </c>
      <c r="D5" s="1">
        <v>7631</v>
      </c>
      <c r="E5" s="10">
        <v>0</v>
      </c>
      <c r="F5" s="10">
        <v>-1000</v>
      </c>
      <c r="G5" s="10"/>
      <c r="H5" s="1"/>
      <c r="I5" s="1"/>
      <c r="J5" s="30"/>
    </row>
    <row r="6" spans="1:10" ht="15" x14ac:dyDescent="0.2">
      <c r="A6" s="1"/>
      <c r="B6" s="1"/>
      <c r="C6" s="1" t="s">
        <v>83</v>
      </c>
      <c r="D6" s="1">
        <v>7691</v>
      </c>
      <c r="E6" s="10">
        <v>0</v>
      </c>
      <c r="F6" s="10">
        <v>-600</v>
      </c>
      <c r="G6" s="10"/>
      <c r="H6" s="1"/>
      <c r="I6" s="1"/>
      <c r="J6" s="30"/>
    </row>
    <row r="7" spans="1:10" ht="15" x14ac:dyDescent="0.2">
      <c r="A7" s="1"/>
      <c r="B7" s="1"/>
      <c r="C7" s="1"/>
      <c r="D7" s="1"/>
      <c r="E7" s="10"/>
      <c r="F7" s="10"/>
      <c r="G7" s="10"/>
      <c r="H7" s="1"/>
      <c r="I7" s="1"/>
      <c r="J7" s="30"/>
    </row>
    <row r="8" spans="1:10" ht="15" x14ac:dyDescent="0.2">
      <c r="A8" s="1"/>
      <c r="B8" s="1"/>
      <c r="C8" s="25" t="s">
        <v>80</v>
      </c>
      <c r="D8" s="1"/>
      <c r="E8" s="10">
        <f t="shared" ref="E8:F8" si="0">SUM(E5:E6)</f>
        <v>0</v>
      </c>
      <c r="F8" s="10">
        <f t="shared" si="0"/>
        <v>-1600</v>
      </c>
      <c r="G8" s="10">
        <f>E8+F8</f>
        <v>-1600</v>
      </c>
      <c r="H8" s="1"/>
      <c r="I8" s="1"/>
      <c r="J8" s="30"/>
    </row>
    <row r="9" spans="1:10" ht="15" x14ac:dyDescent="0.2">
      <c r="A9" s="1"/>
      <c r="B9" s="1"/>
      <c r="C9" s="1"/>
      <c r="D9" s="1"/>
      <c r="E9" s="10"/>
      <c r="F9" s="10"/>
      <c r="G9" s="10"/>
      <c r="H9" s="1"/>
      <c r="I9" s="1"/>
      <c r="J9" s="30"/>
    </row>
    <row r="10" spans="1:10" ht="15" x14ac:dyDescent="0.2">
      <c r="A10" s="1"/>
      <c r="B10" s="1"/>
      <c r="C10" s="25" t="s">
        <v>102</v>
      </c>
      <c r="D10" s="1"/>
      <c r="E10" s="31">
        <f t="shared" ref="E10:F10" si="1">SUMIFS(E2:E9,$C2:$C9,"Subsubtotal")</f>
        <v>0</v>
      </c>
      <c r="F10" s="31">
        <f t="shared" si="1"/>
        <v>-1600</v>
      </c>
      <c r="G10" s="10">
        <f>SUM(G2:G9)</f>
        <v>-1600</v>
      </c>
      <c r="H10" s="1"/>
      <c r="I10" s="1"/>
      <c r="J10" s="30"/>
    </row>
    <row r="11" spans="1:10" ht="15" x14ac:dyDescent="0.2">
      <c r="A11" s="1"/>
      <c r="B11" s="1"/>
      <c r="C11" s="1"/>
      <c r="D11" s="1"/>
      <c r="E11" s="10"/>
      <c r="F11" s="10"/>
      <c r="G11" s="10"/>
      <c r="H11" s="1"/>
      <c r="I11" s="1"/>
      <c r="J11" s="30"/>
    </row>
  </sheetData>
  <conditionalFormatting sqref="E2:G11">
    <cfRule type="cellIs" dxfId="68" priority="1" operator="greaterThan">
      <formula>0</formula>
    </cfRule>
    <cfRule type="cellIs" dxfId="67" priority="2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61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38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265</v>
      </c>
      <c r="C3" s="56"/>
      <c r="D3" s="56"/>
      <c r="E3" s="57"/>
      <c r="F3" s="57"/>
      <c r="G3" s="57"/>
      <c r="H3" s="56"/>
      <c r="I3" s="56"/>
      <c r="J3" s="30"/>
    </row>
    <row r="4" spans="1:10" ht="15" x14ac:dyDescent="0.2">
      <c r="A4" s="1"/>
      <c r="B4" s="56"/>
      <c r="C4" s="1" t="s">
        <v>267</v>
      </c>
      <c r="D4" s="1" t="s">
        <v>179</v>
      </c>
      <c r="E4" s="62">
        <v>0</v>
      </c>
      <c r="F4" s="62">
        <v>-250000</v>
      </c>
      <c r="G4" s="79"/>
      <c r="H4" s="1" t="s">
        <v>326</v>
      </c>
      <c r="I4" s="1" t="s">
        <v>327</v>
      </c>
      <c r="J4" s="30"/>
    </row>
    <row r="5" spans="1:10" ht="15" x14ac:dyDescent="0.2">
      <c r="A5" s="1"/>
      <c r="B5" s="56"/>
      <c r="C5" s="1" t="s">
        <v>328</v>
      </c>
      <c r="D5" s="1" t="s">
        <v>92</v>
      </c>
      <c r="E5" s="62">
        <v>400000</v>
      </c>
      <c r="F5" s="62">
        <v>0</v>
      </c>
      <c r="G5" s="79"/>
      <c r="H5" s="1" t="s">
        <v>326</v>
      </c>
      <c r="I5" s="1" t="s">
        <v>329</v>
      </c>
      <c r="J5" s="30"/>
    </row>
    <row r="6" spans="1:10" ht="15" x14ac:dyDescent="0.2">
      <c r="A6" s="1"/>
      <c r="B6" s="56"/>
      <c r="C6" s="1" t="s">
        <v>314</v>
      </c>
      <c r="D6" s="61">
        <v>4027</v>
      </c>
      <c r="E6" s="62">
        <v>0</v>
      </c>
      <c r="F6" s="62">
        <v>-20000</v>
      </c>
      <c r="G6" s="79"/>
      <c r="H6" s="1" t="s">
        <v>330</v>
      </c>
      <c r="I6" s="1" t="s">
        <v>331</v>
      </c>
      <c r="J6" s="30"/>
    </row>
    <row r="7" spans="1:10" ht="15" x14ac:dyDescent="0.2">
      <c r="A7" s="1"/>
      <c r="B7" s="56"/>
      <c r="C7" s="1" t="s">
        <v>332</v>
      </c>
      <c r="D7" s="61">
        <v>3027</v>
      </c>
      <c r="E7" s="62">
        <v>20000</v>
      </c>
      <c r="F7" s="62">
        <v>0</v>
      </c>
      <c r="G7" s="79"/>
      <c r="H7" s="1" t="s">
        <v>330</v>
      </c>
      <c r="I7" s="1" t="s">
        <v>331</v>
      </c>
      <c r="J7" s="30"/>
    </row>
    <row r="8" spans="1:10" ht="15" x14ac:dyDescent="0.2">
      <c r="A8" s="1"/>
      <c r="B8" s="56"/>
      <c r="C8" s="1" t="s">
        <v>333</v>
      </c>
      <c r="D8" s="61">
        <v>4031</v>
      </c>
      <c r="E8" s="62">
        <v>0</v>
      </c>
      <c r="F8" s="62">
        <v>-7500</v>
      </c>
      <c r="G8" s="79"/>
      <c r="H8" s="1" t="s">
        <v>334</v>
      </c>
      <c r="I8" s="1" t="s">
        <v>335</v>
      </c>
      <c r="J8" s="30"/>
    </row>
    <row r="9" spans="1:10" ht="15" x14ac:dyDescent="0.2">
      <c r="A9" s="1"/>
      <c r="B9" s="56"/>
      <c r="C9" s="1" t="s">
        <v>336</v>
      </c>
      <c r="D9" s="61">
        <v>4029</v>
      </c>
      <c r="E9" s="62">
        <v>0</v>
      </c>
      <c r="F9" s="62">
        <v>-5000</v>
      </c>
      <c r="G9" s="79"/>
      <c r="H9" s="1" t="s">
        <v>337</v>
      </c>
      <c r="I9" s="56"/>
      <c r="J9" s="30"/>
    </row>
    <row r="10" spans="1:10" ht="15" x14ac:dyDescent="0.2">
      <c r="A10" s="1"/>
      <c r="B10" s="56"/>
      <c r="C10" s="1" t="s">
        <v>338</v>
      </c>
      <c r="D10" s="61">
        <v>3029</v>
      </c>
      <c r="E10" s="62">
        <v>5000</v>
      </c>
      <c r="F10" s="62">
        <v>0</v>
      </c>
      <c r="G10" s="79"/>
      <c r="H10" s="56"/>
      <c r="I10" s="56"/>
      <c r="J10" s="30"/>
    </row>
    <row r="11" spans="1:10" ht="15" x14ac:dyDescent="0.2">
      <c r="A11" s="1"/>
      <c r="B11" s="56"/>
      <c r="C11" s="1" t="s">
        <v>339</v>
      </c>
      <c r="D11" s="61">
        <v>5411</v>
      </c>
      <c r="E11" s="62">
        <v>0</v>
      </c>
      <c r="F11" s="62">
        <v>-5000</v>
      </c>
      <c r="G11" s="79"/>
      <c r="H11" s="56"/>
      <c r="I11" s="56"/>
      <c r="J11" s="30"/>
    </row>
    <row r="12" spans="1:10" ht="15" x14ac:dyDescent="0.2">
      <c r="A12" s="1"/>
      <c r="B12" s="56"/>
      <c r="C12" s="1" t="s">
        <v>212</v>
      </c>
      <c r="D12" s="1" t="s">
        <v>340</v>
      </c>
      <c r="E12" s="62">
        <v>0</v>
      </c>
      <c r="F12" s="62">
        <v>-1000</v>
      </c>
      <c r="G12" s="79"/>
      <c r="H12" s="56"/>
      <c r="I12" s="1" t="s">
        <v>331</v>
      </c>
      <c r="J12" s="30"/>
    </row>
    <row r="13" spans="1:10" ht="15" x14ac:dyDescent="0.2">
      <c r="A13" s="1"/>
      <c r="B13" s="56"/>
      <c r="C13" s="1" t="s">
        <v>341</v>
      </c>
      <c r="D13" s="1">
        <v>6800</v>
      </c>
      <c r="E13" s="62">
        <v>0</v>
      </c>
      <c r="F13" s="62">
        <v>-3000</v>
      </c>
      <c r="G13" s="79"/>
      <c r="H13" s="1" t="s">
        <v>342</v>
      </c>
      <c r="I13" s="56"/>
      <c r="J13" s="30"/>
    </row>
    <row r="14" spans="1:10" ht="15" x14ac:dyDescent="0.2">
      <c r="A14" s="1"/>
      <c r="B14" s="56"/>
      <c r="C14" s="1" t="s">
        <v>343</v>
      </c>
      <c r="D14" s="1" t="s">
        <v>344</v>
      </c>
      <c r="E14" s="62">
        <v>0</v>
      </c>
      <c r="F14" s="62">
        <v>0</v>
      </c>
      <c r="G14" s="79"/>
      <c r="H14" s="1" t="s">
        <v>345</v>
      </c>
      <c r="I14" s="56"/>
      <c r="J14" s="30"/>
    </row>
    <row r="15" spans="1:10" ht="15" x14ac:dyDescent="0.2">
      <c r="A15" s="1"/>
      <c r="B15" s="56"/>
      <c r="C15" s="56"/>
      <c r="D15" s="56"/>
      <c r="E15" s="79"/>
      <c r="F15" s="79"/>
      <c r="G15" s="79"/>
      <c r="H15" s="56"/>
      <c r="I15" s="56"/>
      <c r="J15" s="30"/>
    </row>
    <row r="16" spans="1:10" ht="15" x14ac:dyDescent="0.2">
      <c r="A16" s="1"/>
      <c r="B16" s="56"/>
      <c r="C16" s="25" t="s">
        <v>80</v>
      </c>
      <c r="D16" s="56"/>
      <c r="E16" s="62">
        <f t="shared" ref="E16:F16" si="0">SUM(E4:E13)</f>
        <v>425000</v>
      </c>
      <c r="F16" s="62">
        <f t="shared" si="0"/>
        <v>-291500</v>
      </c>
      <c r="G16" s="62">
        <f>E16+F16</f>
        <v>133500</v>
      </c>
      <c r="H16" s="56"/>
      <c r="I16" s="56"/>
      <c r="J16" s="30"/>
    </row>
    <row r="17" spans="1:10" ht="15" x14ac:dyDescent="0.2">
      <c r="A17" s="1"/>
      <c r="B17" s="56"/>
      <c r="C17" s="56"/>
      <c r="D17" s="56"/>
      <c r="E17" s="79"/>
      <c r="F17" s="79"/>
      <c r="G17" s="79"/>
      <c r="H17" s="56"/>
      <c r="I17" s="56"/>
      <c r="J17" s="30"/>
    </row>
    <row r="18" spans="1:10" ht="15" x14ac:dyDescent="0.2">
      <c r="A18" s="1"/>
      <c r="B18" s="25" t="s">
        <v>346</v>
      </c>
      <c r="C18" s="56"/>
      <c r="D18" s="56"/>
      <c r="E18" s="79"/>
      <c r="F18" s="79"/>
      <c r="G18" s="79"/>
      <c r="H18" s="56"/>
      <c r="I18" s="56"/>
      <c r="J18" s="30"/>
    </row>
    <row r="19" spans="1:10" ht="15" x14ac:dyDescent="0.2">
      <c r="A19" s="1"/>
      <c r="B19" s="56"/>
      <c r="C19" s="1" t="s">
        <v>88</v>
      </c>
      <c r="D19" s="1" t="s">
        <v>89</v>
      </c>
      <c r="E19" s="62">
        <v>16750</v>
      </c>
      <c r="F19" s="62">
        <v>0</v>
      </c>
      <c r="G19" s="79"/>
      <c r="H19" s="56"/>
      <c r="I19" s="56"/>
      <c r="J19" s="30"/>
    </row>
    <row r="20" spans="1:10" ht="15" x14ac:dyDescent="0.2">
      <c r="A20" s="1"/>
      <c r="B20" s="56"/>
      <c r="C20" s="1" t="s">
        <v>172</v>
      </c>
      <c r="D20" s="61">
        <v>4029</v>
      </c>
      <c r="E20" s="62">
        <v>0</v>
      </c>
      <c r="F20" s="62">
        <v>-5000</v>
      </c>
      <c r="G20" s="79"/>
      <c r="H20" s="56"/>
      <c r="I20" s="56"/>
      <c r="J20" s="30"/>
    </row>
    <row r="21" spans="1:10" ht="15" x14ac:dyDescent="0.2">
      <c r="A21" s="1"/>
      <c r="B21" s="56"/>
      <c r="C21" s="1" t="s">
        <v>91</v>
      </c>
      <c r="D21" s="1" t="s">
        <v>179</v>
      </c>
      <c r="E21" s="62">
        <v>0</v>
      </c>
      <c r="F21" s="62">
        <v>-7500</v>
      </c>
      <c r="G21" s="79"/>
      <c r="H21" s="56"/>
      <c r="I21" s="56"/>
      <c r="J21" s="30"/>
    </row>
    <row r="22" spans="1:10" ht="15" x14ac:dyDescent="0.2">
      <c r="A22" s="1"/>
      <c r="B22" s="56"/>
      <c r="C22" s="1" t="s">
        <v>96</v>
      </c>
      <c r="D22" s="61">
        <v>5411</v>
      </c>
      <c r="E22" s="62">
        <v>0</v>
      </c>
      <c r="F22" s="62">
        <v>-1500</v>
      </c>
      <c r="G22" s="79"/>
      <c r="H22" s="56"/>
      <c r="I22" s="56"/>
      <c r="J22" s="30"/>
    </row>
    <row r="23" spans="1:10" ht="15" x14ac:dyDescent="0.2">
      <c r="A23" s="1"/>
      <c r="B23" s="56"/>
      <c r="C23" s="1" t="s">
        <v>347</v>
      </c>
      <c r="D23" s="61">
        <v>4027</v>
      </c>
      <c r="E23" s="62">
        <v>0</v>
      </c>
      <c r="F23" s="62">
        <v>-1750</v>
      </c>
      <c r="G23" s="79"/>
      <c r="H23" s="56"/>
      <c r="I23" s="56"/>
      <c r="J23" s="30"/>
    </row>
    <row r="24" spans="1:10" ht="15" x14ac:dyDescent="0.2">
      <c r="A24" s="1"/>
      <c r="B24" s="56"/>
      <c r="C24" s="1" t="s">
        <v>98</v>
      </c>
      <c r="D24" s="61">
        <v>5463</v>
      </c>
      <c r="E24" s="62">
        <v>0</v>
      </c>
      <c r="F24" s="62">
        <v>-1000</v>
      </c>
      <c r="G24" s="79"/>
      <c r="H24" s="56"/>
      <c r="I24" s="56"/>
      <c r="J24" s="30"/>
    </row>
    <row r="25" spans="1:10" ht="15" x14ac:dyDescent="0.2">
      <c r="A25" s="1"/>
      <c r="B25" s="56"/>
      <c r="C25" s="56"/>
      <c r="D25" s="56"/>
      <c r="E25" s="79"/>
      <c r="F25" s="79"/>
      <c r="G25" s="79"/>
      <c r="H25" s="56"/>
      <c r="I25" s="56"/>
      <c r="J25" s="30"/>
    </row>
    <row r="26" spans="1:10" ht="15" x14ac:dyDescent="0.2">
      <c r="A26" s="1"/>
      <c r="B26" s="56"/>
      <c r="C26" s="25" t="s">
        <v>80</v>
      </c>
      <c r="D26" s="56"/>
      <c r="E26" s="62">
        <f t="shared" ref="E26:F26" si="1">SUM(E19:E24)</f>
        <v>16750</v>
      </c>
      <c r="F26" s="62">
        <f t="shared" si="1"/>
        <v>-16750</v>
      </c>
      <c r="G26" s="62">
        <f>E26+F26</f>
        <v>0</v>
      </c>
      <c r="H26" s="56"/>
      <c r="I26" s="56"/>
      <c r="J26" s="30"/>
    </row>
    <row r="27" spans="1:10" ht="15" x14ac:dyDescent="0.2">
      <c r="A27" s="1"/>
      <c r="B27" s="56"/>
      <c r="C27" s="56"/>
      <c r="D27" s="56"/>
      <c r="E27" s="79"/>
      <c r="F27" s="79"/>
      <c r="G27" s="79"/>
      <c r="H27" s="56"/>
      <c r="I27" s="56"/>
      <c r="J27" s="30"/>
    </row>
    <row r="28" spans="1:10" ht="15" x14ac:dyDescent="0.2">
      <c r="A28" s="1"/>
      <c r="B28" s="25" t="s">
        <v>40</v>
      </c>
      <c r="C28" s="56"/>
      <c r="D28" s="56"/>
      <c r="E28" s="79"/>
      <c r="F28" s="79"/>
      <c r="G28" s="79"/>
      <c r="H28" s="56"/>
      <c r="I28" s="56"/>
      <c r="J28" s="30"/>
    </row>
    <row r="29" spans="1:10" ht="15" x14ac:dyDescent="0.2">
      <c r="A29" s="1"/>
      <c r="B29" s="56"/>
      <c r="C29" s="1" t="s">
        <v>88</v>
      </c>
      <c r="D29" s="1" t="s">
        <v>89</v>
      </c>
      <c r="E29" s="62">
        <v>37000</v>
      </c>
      <c r="F29" s="62">
        <v>0</v>
      </c>
      <c r="G29" s="79"/>
      <c r="H29" s="56"/>
      <c r="I29" s="56"/>
      <c r="J29" s="30"/>
    </row>
    <row r="30" spans="1:10" ht="15" x14ac:dyDescent="0.2">
      <c r="A30" s="1"/>
      <c r="B30" s="56"/>
      <c r="C30" s="1" t="s">
        <v>172</v>
      </c>
      <c r="D30" s="61">
        <v>4029</v>
      </c>
      <c r="E30" s="62">
        <v>0</v>
      </c>
      <c r="F30" s="62">
        <v>-11000</v>
      </c>
      <c r="G30" s="79"/>
      <c r="H30" s="56"/>
      <c r="I30" s="1" t="s">
        <v>348</v>
      </c>
      <c r="J30" s="30"/>
    </row>
    <row r="31" spans="1:10" ht="15" x14ac:dyDescent="0.2">
      <c r="A31" s="1"/>
      <c r="B31" s="56"/>
      <c r="C31" s="1" t="s">
        <v>91</v>
      </c>
      <c r="D31" s="1" t="s">
        <v>179</v>
      </c>
      <c r="E31" s="62">
        <v>0</v>
      </c>
      <c r="F31" s="62">
        <v>-15000</v>
      </c>
      <c r="G31" s="79"/>
      <c r="H31" s="56"/>
      <c r="I31" s="1" t="s">
        <v>348</v>
      </c>
      <c r="J31" s="30"/>
    </row>
    <row r="32" spans="1:10" ht="15" x14ac:dyDescent="0.2">
      <c r="A32" s="1"/>
      <c r="B32" s="56"/>
      <c r="C32" s="1" t="s">
        <v>96</v>
      </c>
      <c r="D32" s="61">
        <v>5411</v>
      </c>
      <c r="E32" s="62">
        <v>0</v>
      </c>
      <c r="F32" s="62">
        <v>-3000</v>
      </c>
      <c r="G32" s="79"/>
      <c r="H32" s="56"/>
      <c r="I32" s="1" t="s">
        <v>348</v>
      </c>
      <c r="J32" s="30"/>
    </row>
    <row r="33" spans="1:10" ht="15" x14ac:dyDescent="0.2">
      <c r="A33" s="1"/>
      <c r="B33" s="56"/>
      <c r="C33" s="1" t="s">
        <v>347</v>
      </c>
      <c r="D33" s="61">
        <v>4027</v>
      </c>
      <c r="E33" s="62">
        <v>0</v>
      </c>
      <c r="F33" s="62">
        <v>-5000</v>
      </c>
      <c r="G33" s="79"/>
      <c r="H33" s="56"/>
      <c r="I33" s="1" t="s">
        <v>348</v>
      </c>
      <c r="J33" s="30"/>
    </row>
    <row r="34" spans="1:10" ht="15" x14ac:dyDescent="0.2">
      <c r="A34" s="1"/>
      <c r="B34" s="56"/>
      <c r="C34" s="1" t="s">
        <v>98</v>
      </c>
      <c r="D34" s="61">
        <v>5463</v>
      </c>
      <c r="E34" s="62">
        <v>0</v>
      </c>
      <c r="F34" s="62">
        <v>-3000</v>
      </c>
      <c r="G34" s="79"/>
      <c r="H34" s="56"/>
      <c r="I34" s="1" t="s">
        <v>348</v>
      </c>
      <c r="J34" s="30"/>
    </row>
    <row r="35" spans="1:10" ht="15" x14ac:dyDescent="0.2">
      <c r="A35" s="1"/>
      <c r="B35" s="56"/>
      <c r="C35" s="56"/>
      <c r="D35" s="56"/>
      <c r="E35" s="79"/>
      <c r="F35" s="79"/>
      <c r="G35" s="79"/>
      <c r="H35" s="56"/>
      <c r="I35" s="56"/>
      <c r="J35" s="30"/>
    </row>
    <row r="36" spans="1:10" ht="15" x14ac:dyDescent="0.2">
      <c r="A36" s="1"/>
      <c r="B36" s="56"/>
      <c r="C36" s="25" t="s">
        <v>80</v>
      </c>
      <c r="D36" s="56"/>
      <c r="E36" s="62">
        <f t="shared" ref="E36:F36" si="2">SUM(E29:E34)</f>
        <v>37000</v>
      </c>
      <c r="F36" s="62">
        <f t="shared" si="2"/>
        <v>-37000</v>
      </c>
      <c r="G36" s="62">
        <f>E36+F36</f>
        <v>0</v>
      </c>
      <c r="H36" s="56"/>
      <c r="I36" s="56"/>
      <c r="J36" s="30"/>
    </row>
    <row r="37" spans="1:10" ht="15" x14ac:dyDescent="0.2">
      <c r="A37" s="1"/>
      <c r="B37" s="56"/>
      <c r="C37" s="56"/>
      <c r="D37" s="56"/>
      <c r="E37" s="79"/>
      <c r="F37" s="79"/>
      <c r="G37" s="79"/>
      <c r="H37" s="56"/>
      <c r="I37" s="56"/>
      <c r="J37" s="30"/>
    </row>
    <row r="38" spans="1:10" ht="15" x14ac:dyDescent="0.2">
      <c r="A38" s="1"/>
      <c r="B38" s="25" t="s">
        <v>58</v>
      </c>
      <c r="C38" s="56"/>
      <c r="D38" s="56"/>
      <c r="E38" s="79"/>
      <c r="F38" s="79"/>
      <c r="G38" s="79"/>
      <c r="H38" s="56"/>
      <c r="I38" s="1" t="s">
        <v>349</v>
      </c>
      <c r="J38" s="30"/>
    </row>
    <row r="39" spans="1:10" ht="15" x14ac:dyDescent="0.2">
      <c r="A39" s="30"/>
      <c r="B39" s="56"/>
      <c r="C39" s="1" t="s">
        <v>253</v>
      </c>
      <c r="D39" s="61">
        <v>5410</v>
      </c>
      <c r="E39" s="62">
        <v>0</v>
      </c>
      <c r="F39" s="62">
        <v>-1200</v>
      </c>
      <c r="G39" s="79"/>
      <c r="H39" s="1" t="s">
        <v>350</v>
      </c>
      <c r="I39" s="56"/>
      <c r="J39" s="30"/>
    </row>
    <row r="40" spans="1:10" ht="15" x14ac:dyDescent="0.2">
      <c r="A40" s="30"/>
      <c r="B40" s="56"/>
      <c r="C40" s="1" t="s">
        <v>255</v>
      </c>
      <c r="D40" s="61">
        <v>5460</v>
      </c>
      <c r="E40" s="62">
        <v>0</v>
      </c>
      <c r="F40" s="62">
        <v>-1200</v>
      </c>
      <c r="G40" s="79"/>
      <c r="H40" s="1" t="s">
        <v>351</v>
      </c>
      <c r="I40" s="56"/>
      <c r="J40" s="30"/>
    </row>
    <row r="41" spans="1:10" ht="15" x14ac:dyDescent="0.2">
      <c r="A41" s="30"/>
      <c r="B41" s="56"/>
      <c r="C41" s="1" t="s">
        <v>352</v>
      </c>
      <c r="D41" s="61">
        <v>6061</v>
      </c>
      <c r="E41" s="62">
        <v>0</v>
      </c>
      <c r="F41" s="62">
        <v>-6200</v>
      </c>
      <c r="G41" s="79"/>
      <c r="H41" s="1" t="s">
        <v>353</v>
      </c>
      <c r="I41" s="1" t="s">
        <v>354</v>
      </c>
      <c r="J41" s="30"/>
    </row>
    <row r="42" spans="1:10" ht="15" x14ac:dyDescent="0.2">
      <c r="A42" s="30"/>
      <c r="B42" s="56"/>
      <c r="C42" s="1" t="s">
        <v>355</v>
      </c>
      <c r="D42" s="61">
        <v>6040</v>
      </c>
      <c r="E42" s="62">
        <v>0</v>
      </c>
      <c r="F42" s="62">
        <v>-350</v>
      </c>
      <c r="G42" s="79"/>
      <c r="H42" s="1" t="s">
        <v>356</v>
      </c>
      <c r="I42" s="56"/>
      <c r="J42" s="30"/>
    </row>
    <row r="43" spans="1:10" ht="15" x14ac:dyDescent="0.2">
      <c r="A43" s="30"/>
      <c r="B43" s="56"/>
      <c r="C43" s="1" t="s">
        <v>168</v>
      </c>
      <c r="D43" s="61">
        <v>6800</v>
      </c>
      <c r="E43" s="62">
        <v>0</v>
      </c>
      <c r="F43" s="62">
        <v>-109050</v>
      </c>
      <c r="G43" s="79"/>
      <c r="H43" s="1" t="s">
        <v>357</v>
      </c>
      <c r="I43" s="56"/>
      <c r="J43" s="30"/>
    </row>
    <row r="44" spans="1:10" ht="15" x14ac:dyDescent="0.2">
      <c r="A44" s="30"/>
      <c r="B44" s="56"/>
      <c r="C44" s="1" t="s">
        <v>257</v>
      </c>
      <c r="D44" s="1" t="s">
        <v>358</v>
      </c>
      <c r="E44" s="62">
        <v>0</v>
      </c>
      <c r="F44" s="62">
        <v>-1500</v>
      </c>
      <c r="G44" s="79"/>
      <c r="H44" s="1" t="s">
        <v>359</v>
      </c>
      <c r="I44" s="56"/>
      <c r="J44" s="30"/>
    </row>
    <row r="45" spans="1:10" ht="15" x14ac:dyDescent="0.2">
      <c r="A45" s="30"/>
      <c r="B45" s="56"/>
      <c r="C45" s="1" t="s">
        <v>259</v>
      </c>
      <c r="D45" s="77" t="s">
        <v>260</v>
      </c>
      <c r="E45" s="62">
        <v>0</v>
      </c>
      <c r="F45" s="62">
        <v>0</v>
      </c>
      <c r="G45" s="79"/>
      <c r="H45" s="1"/>
      <c r="I45" s="56"/>
      <c r="J45" s="30"/>
    </row>
    <row r="46" spans="1:10" ht="15.75" customHeight="1" x14ac:dyDescent="0.15">
      <c r="A46" s="30"/>
      <c r="B46" s="56"/>
      <c r="C46" s="56"/>
      <c r="D46" s="56"/>
      <c r="E46" s="79"/>
      <c r="F46" s="79"/>
      <c r="G46" s="79"/>
      <c r="H46" s="56"/>
      <c r="I46" s="56"/>
      <c r="J46" s="30"/>
    </row>
    <row r="47" spans="1:10" ht="15" x14ac:dyDescent="0.2">
      <c r="A47" s="30"/>
      <c r="B47" s="56"/>
      <c r="C47" s="25" t="s">
        <v>80</v>
      </c>
      <c r="D47" s="56"/>
      <c r="E47" s="62">
        <f t="shared" ref="E47:F47" si="3">SUM(E39:E44)</f>
        <v>0</v>
      </c>
      <c r="F47" s="62">
        <f t="shared" si="3"/>
        <v>-119500</v>
      </c>
      <c r="G47" s="62">
        <f>E47+F47</f>
        <v>-119500</v>
      </c>
      <c r="H47" s="56"/>
      <c r="I47" s="56"/>
      <c r="J47" s="30"/>
    </row>
    <row r="48" spans="1:10" ht="15.75" customHeight="1" x14ac:dyDescent="0.15">
      <c r="B48" s="56"/>
      <c r="C48" s="56"/>
      <c r="D48" s="56"/>
      <c r="E48" s="79"/>
      <c r="F48" s="79"/>
      <c r="G48" s="79"/>
      <c r="H48" s="56"/>
      <c r="I48" s="56"/>
    </row>
    <row r="49" spans="2:9" ht="14" x14ac:dyDescent="0.2">
      <c r="B49" s="25" t="s">
        <v>81</v>
      </c>
      <c r="C49" s="56"/>
      <c r="D49" s="56"/>
      <c r="E49" s="79"/>
      <c r="F49" s="79"/>
      <c r="G49" s="79"/>
      <c r="H49" s="56"/>
      <c r="I49" s="56"/>
    </row>
    <row r="50" spans="2:9" ht="14" x14ac:dyDescent="0.2">
      <c r="B50" s="56"/>
      <c r="C50" s="1" t="s">
        <v>360</v>
      </c>
      <c r="D50" s="61">
        <v>7691</v>
      </c>
      <c r="E50" s="62">
        <v>0</v>
      </c>
      <c r="F50" s="62">
        <v>-5500</v>
      </c>
      <c r="G50" s="79"/>
      <c r="H50" s="1" t="s">
        <v>361</v>
      </c>
      <c r="I50" s="56"/>
    </row>
    <row r="51" spans="2:9" ht="14" x14ac:dyDescent="0.2">
      <c r="B51" s="56"/>
      <c r="C51" s="1" t="s">
        <v>132</v>
      </c>
      <c r="D51" s="61">
        <v>5931</v>
      </c>
      <c r="E51" s="71">
        <v>0</v>
      </c>
      <c r="F51" s="71">
        <v>-8500</v>
      </c>
      <c r="G51" s="81"/>
      <c r="H51" s="1" t="s">
        <v>214</v>
      </c>
      <c r="I51" s="56"/>
    </row>
    <row r="52" spans="2:9" ht="15.75" customHeight="1" x14ac:dyDescent="0.15">
      <c r="B52" s="56"/>
      <c r="C52" s="56"/>
      <c r="D52" s="56"/>
      <c r="E52" s="79"/>
      <c r="F52" s="79"/>
      <c r="G52" s="79"/>
      <c r="H52" s="56"/>
      <c r="I52" s="56"/>
    </row>
    <row r="53" spans="2:9" ht="14" x14ac:dyDescent="0.2">
      <c r="B53" s="56"/>
      <c r="C53" s="25" t="s">
        <v>80</v>
      </c>
      <c r="D53" s="56"/>
      <c r="E53" s="62">
        <f t="shared" ref="E53:F53" si="4">SUM(E50:E51)</f>
        <v>0</v>
      </c>
      <c r="F53" s="62">
        <f t="shared" si="4"/>
        <v>-14000</v>
      </c>
      <c r="G53" s="62">
        <f>E53+F53</f>
        <v>-14000</v>
      </c>
      <c r="H53" s="56"/>
      <c r="I53" s="56"/>
    </row>
    <row r="54" spans="2:9" ht="15.75" customHeight="1" x14ac:dyDescent="0.15">
      <c r="B54" s="56"/>
      <c r="C54" s="56"/>
      <c r="D54" s="56"/>
      <c r="E54" s="79"/>
      <c r="F54" s="79"/>
      <c r="G54" s="79"/>
      <c r="H54" s="56"/>
      <c r="I54" s="56"/>
    </row>
    <row r="55" spans="2:9" ht="14" x14ac:dyDescent="0.2">
      <c r="B55" s="56"/>
      <c r="C55" s="25" t="s">
        <v>102</v>
      </c>
      <c r="D55" s="56"/>
      <c r="E55" s="62">
        <f t="shared" ref="E55:F55" si="5">E16+E26+E36+E47+E53</f>
        <v>478750</v>
      </c>
      <c r="F55" s="62">
        <f t="shared" si="5"/>
        <v>-478750</v>
      </c>
      <c r="G55" s="62">
        <f>E55+F55</f>
        <v>0</v>
      </c>
      <c r="H55" s="1" t="s">
        <v>362</v>
      </c>
      <c r="I55" s="56"/>
    </row>
    <row r="56" spans="2:9" ht="15.75" customHeight="1" x14ac:dyDescent="0.15">
      <c r="E56" s="33"/>
      <c r="F56" s="33"/>
      <c r="G56" s="33"/>
    </row>
    <row r="57" spans="2:9" ht="15.75" customHeight="1" x14ac:dyDescent="0.15">
      <c r="E57" s="33"/>
      <c r="F57" s="33"/>
      <c r="G57" s="33"/>
    </row>
    <row r="58" spans="2:9" ht="15.75" customHeight="1" x14ac:dyDescent="0.15">
      <c r="E58" s="33"/>
      <c r="F58" s="33"/>
      <c r="G58" s="33"/>
    </row>
    <row r="59" spans="2:9" ht="15.75" customHeight="1" x14ac:dyDescent="0.15">
      <c r="E59" s="33"/>
      <c r="F59" s="33"/>
      <c r="G59" s="33"/>
    </row>
    <row r="60" spans="2:9" ht="15.75" customHeight="1" x14ac:dyDescent="0.15">
      <c r="E60" s="33"/>
      <c r="F60" s="33"/>
      <c r="G60" s="33"/>
    </row>
    <row r="61" spans="2:9" ht="15.75" customHeight="1" x14ac:dyDescent="0.15">
      <c r="E61" s="33"/>
      <c r="F61" s="33"/>
      <c r="G61" s="33"/>
    </row>
  </sheetData>
  <conditionalFormatting sqref="E2:G61">
    <cfRule type="cellIs" dxfId="66" priority="1" operator="greaterThan">
      <formula>0</formula>
    </cfRule>
    <cfRule type="cellIs" dxfId="65" priority="2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J52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8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8" x14ac:dyDescent="0.25">
      <c r="A2" s="26" t="s">
        <v>40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363</v>
      </c>
      <c r="C3" s="1"/>
      <c r="D3" s="1"/>
      <c r="E3" s="10"/>
      <c r="F3" s="10"/>
      <c r="G3" s="10"/>
      <c r="H3" s="1"/>
      <c r="I3" s="30"/>
      <c r="J3" s="30"/>
    </row>
    <row r="4" spans="1:10" ht="15" x14ac:dyDescent="0.2">
      <c r="A4" s="1"/>
      <c r="B4" s="1"/>
      <c r="C4" s="1" t="s">
        <v>94</v>
      </c>
      <c r="D4" s="61"/>
      <c r="E4" s="62">
        <v>0</v>
      </c>
      <c r="F4" s="62">
        <v>-1400</v>
      </c>
      <c r="G4" s="10"/>
      <c r="H4" s="1"/>
      <c r="I4" s="30"/>
      <c r="J4" s="30"/>
    </row>
    <row r="5" spans="1:10" ht="15" x14ac:dyDescent="0.2">
      <c r="A5" s="1"/>
      <c r="B5" s="1"/>
      <c r="C5" s="1" t="s">
        <v>98</v>
      </c>
      <c r="D5" s="61"/>
      <c r="E5" s="62">
        <v>0</v>
      </c>
      <c r="F5" s="10">
        <v>-400</v>
      </c>
      <c r="G5" s="10"/>
      <c r="H5" s="1"/>
      <c r="I5" s="30"/>
      <c r="J5" s="30"/>
    </row>
    <row r="6" spans="1:10" ht="15" x14ac:dyDescent="0.2">
      <c r="A6" s="1"/>
      <c r="B6" s="1"/>
      <c r="C6" s="1"/>
      <c r="D6" s="1"/>
      <c r="E6" s="10"/>
      <c r="F6" s="10"/>
      <c r="G6" s="10"/>
      <c r="H6" s="1"/>
      <c r="I6" s="30"/>
      <c r="J6" s="30"/>
    </row>
    <row r="7" spans="1:10" ht="15" x14ac:dyDescent="0.2">
      <c r="A7" s="1"/>
      <c r="B7" s="1"/>
      <c r="C7" s="25" t="s">
        <v>80</v>
      </c>
      <c r="D7" s="1"/>
      <c r="E7" s="10">
        <f t="shared" ref="E7:F7" si="0">SUM(E4:E5)</f>
        <v>0</v>
      </c>
      <c r="F7" s="10">
        <f t="shared" si="0"/>
        <v>-1800</v>
      </c>
      <c r="G7" s="10">
        <f>E7+F7</f>
        <v>-1800</v>
      </c>
      <c r="H7" s="1"/>
      <c r="I7" s="30"/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1"/>
      <c r="I8" s="30"/>
      <c r="J8" s="30"/>
    </row>
    <row r="9" spans="1:10" ht="15" x14ac:dyDescent="0.2">
      <c r="A9" s="1"/>
      <c r="B9" s="25" t="s">
        <v>364</v>
      </c>
      <c r="C9" s="1"/>
      <c r="D9" s="1"/>
      <c r="E9" s="10"/>
      <c r="F9" s="10"/>
      <c r="G9" s="10"/>
      <c r="H9" s="1"/>
      <c r="I9" s="30"/>
      <c r="J9" s="30"/>
    </row>
    <row r="10" spans="1:10" ht="15" x14ac:dyDescent="0.2">
      <c r="A10" s="1"/>
      <c r="B10" s="1"/>
      <c r="C10" s="1" t="s">
        <v>94</v>
      </c>
      <c r="D10" s="61"/>
      <c r="E10" s="62">
        <v>0</v>
      </c>
      <c r="F10" s="62">
        <v>-2200</v>
      </c>
      <c r="G10" s="10"/>
      <c r="H10" s="1"/>
      <c r="I10" s="30"/>
      <c r="J10" s="30"/>
    </row>
    <row r="11" spans="1:10" ht="15" x14ac:dyDescent="0.2">
      <c r="A11" s="1"/>
      <c r="B11" s="1"/>
      <c r="C11" s="1"/>
      <c r="D11" s="1"/>
      <c r="E11" s="10"/>
      <c r="F11" s="10"/>
      <c r="G11" s="10"/>
      <c r="H11" s="1"/>
      <c r="I11" s="30"/>
      <c r="J11" s="30"/>
    </row>
    <row r="12" spans="1:10" ht="15" x14ac:dyDescent="0.2">
      <c r="A12" s="1"/>
      <c r="B12" s="1"/>
      <c r="C12" s="25" t="s">
        <v>80</v>
      </c>
      <c r="D12" s="1"/>
      <c r="E12" s="10">
        <f t="shared" ref="E12:F12" si="1">SUM(E10)</f>
        <v>0</v>
      </c>
      <c r="F12" s="10">
        <f t="shared" si="1"/>
        <v>-2200</v>
      </c>
      <c r="G12" s="10">
        <f>E12+F12</f>
        <v>-2200</v>
      </c>
      <c r="H12" s="1"/>
      <c r="I12" s="30"/>
      <c r="J12" s="30"/>
    </row>
    <row r="13" spans="1:10" ht="15" x14ac:dyDescent="0.2">
      <c r="A13" s="1"/>
      <c r="B13" s="1"/>
      <c r="C13" s="1"/>
      <c r="D13" s="1"/>
      <c r="E13" s="10"/>
      <c r="F13" s="10"/>
      <c r="G13" s="10"/>
      <c r="H13" s="1"/>
      <c r="I13" s="30"/>
      <c r="J13" s="30"/>
    </row>
    <row r="14" spans="1:10" ht="15" x14ac:dyDescent="0.2">
      <c r="A14" s="1"/>
      <c r="B14" s="25" t="s">
        <v>77</v>
      </c>
      <c r="C14" s="1"/>
      <c r="D14" s="1"/>
      <c r="E14" s="34"/>
      <c r="F14" s="34"/>
      <c r="G14" s="10"/>
      <c r="H14" s="1"/>
      <c r="I14" s="30"/>
      <c r="J14" s="30"/>
    </row>
    <row r="15" spans="1:10" ht="15" x14ac:dyDescent="0.2">
      <c r="A15" s="1"/>
      <c r="B15" s="1"/>
      <c r="C15" s="1" t="s">
        <v>365</v>
      </c>
      <c r="D15" s="61"/>
      <c r="E15" s="62">
        <v>0</v>
      </c>
      <c r="F15" s="62">
        <v>-5000</v>
      </c>
      <c r="G15" s="10"/>
      <c r="H15" s="1"/>
      <c r="I15" s="30"/>
      <c r="J15" s="30"/>
    </row>
    <row r="16" spans="1:10" ht="15" x14ac:dyDescent="0.2">
      <c r="A16" s="1"/>
      <c r="B16" s="1"/>
      <c r="C16" s="1" t="s">
        <v>253</v>
      </c>
      <c r="D16" s="61"/>
      <c r="E16" s="62">
        <v>0</v>
      </c>
      <c r="F16" s="62">
        <v>-1000</v>
      </c>
      <c r="G16" s="10"/>
      <c r="H16" s="1"/>
      <c r="I16" s="30"/>
      <c r="J16" s="30"/>
    </row>
    <row r="17" spans="1:10" ht="15" x14ac:dyDescent="0.2">
      <c r="A17" s="1"/>
      <c r="B17" s="1"/>
      <c r="C17" s="1" t="s">
        <v>366</v>
      </c>
      <c r="D17" s="61"/>
      <c r="E17" s="62">
        <v>0</v>
      </c>
      <c r="F17" s="62">
        <v>-1820</v>
      </c>
      <c r="G17" s="10"/>
      <c r="H17" s="1"/>
      <c r="I17" s="30"/>
      <c r="J17" s="30"/>
    </row>
    <row r="18" spans="1:10" ht="15" x14ac:dyDescent="0.2">
      <c r="A18" s="1"/>
      <c r="B18" s="1"/>
      <c r="C18" s="1" t="s">
        <v>300</v>
      </c>
      <c r="D18" s="61"/>
      <c r="E18" s="62">
        <v>0</v>
      </c>
      <c r="F18" s="62">
        <v>-2000</v>
      </c>
      <c r="G18" s="10"/>
      <c r="H18" s="1"/>
      <c r="I18" s="30"/>
      <c r="J18" s="30"/>
    </row>
    <row r="19" spans="1:10" ht="15" x14ac:dyDescent="0.2">
      <c r="A19" s="1"/>
      <c r="B19" s="1"/>
      <c r="C19" s="1" t="s">
        <v>151</v>
      </c>
      <c r="D19" s="61"/>
      <c r="E19" s="62">
        <v>0</v>
      </c>
      <c r="F19" s="62">
        <v>-15000</v>
      </c>
      <c r="G19" s="10"/>
      <c r="H19" s="1"/>
      <c r="I19" s="30"/>
      <c r="J19" s="30"/>
    </row>
    <row r="20" spans="1:10" ht="15" x14ac:dyDescent="0.2">
      <c r="A20" s="1"/>
      <c r="B20" s="1"/>
      <c r="C20" s="1" t="s">
        <v>367</v>
      </c>
      <c r="D20" s="61"/>
      <c r="E20" s="62">
        <v>0</v>
      </c>
      <c r="F20" s="62">
        <v>-10000</v>
      </c>
      <c r="G20" s="10"/>
      <c r="H20" s="1"/>
      <c r="I20" s="30"/>
      <c r="J20" s="30"/>
    </row>
    <row r="21" spans="1:10" ht="15" x14ac:dyDescent="0.2">
      <c r="A21" s="1"/>
      <c r="B21" s="1"/>
      <c r="C21" s="1" t="s">
        <v>368</v>
      </c>
      <c r="D21" s="61"/>
      <c r="E21" s="62">
        <v>0</v>
      </c>
      <c r="F21" s="62">
        <v>-3000</v>
      </c>
      <c r="G21" s="10"/>
      <c r="H21" s="1"/>
      <c r="I21" s="30"/>
      <c r="J21" s="30"/>
    </row>
    <row r="22" spans="1:10" ht="15" x14ac:dyDescent="0.2">
      <c r="A22" s="1"/>
      <c r="B22" s="1"/>
      <c r="C22" s="1" t="s">
        <v>369</v>
      </c>
      <c r="D22" s="61"/>
      <c r="E22" s="62">
        <v>0</v>
      </c>
      <c r="F22" s="62">
        <v>-500</v>
      </c>
      <c r="G22" s="10"/>
      <c r="H22" s="1"/>
      <c r="I22" s="30"/>
      <c r="J22" s="30"/>
    </row>
    <row r="23" spans="1:10" ht="15" x14ac:dyDescent="0.2">
      <c r="A23" s="1"/>
      <c r="B23" s="1"/>
      <c r="C23" s="1" t="s">
        <v>370</v>
      </c>
      <c r="D23" s="61"/>
      <c r="E23" s="62">
        <v>0</v>
      </c>
      <c r="F23" s="62">
        <v>-5000</v>
      </c>
      <c r="G23" s="10"/>
      <c r="H23" s="1"/>
      <c r="I23" s="30"/>
      <c r="J23" s="30"/>
    </row>
    <row r="24" spans="1:10" ht="15" x14ac:dyDescent="0.2">
      <c r="A24" s="1"/>
      <c r="B24" s="1"/>
      <c r="C24" s="1" t="s">
        <v>371</v>
      </c>
      <c r="D24" s="61"/>
      <c r="E24" s="62">
        <v>0</v>
      </c>
      <c r="F24" s="62">
        <v>-3500</v>
      </c>
      <c r="G24" s="10"/>
      <c r="H24" s="1"/>
      <c r="I24" s="30"/>
      <c r="J24" s="30"/>
    </row>
    <row r="25" spans="1:10" ht="15" x14ac:dyDescent="0.2">
      <c r="A25" s="1"/>
      <c r="B25" s="1"/>
      <c r="C25" s="25"/>
      <c r="D25" s="1"/>
      <c r="E25" s="25"/>
      <c r="F25" s="25"/>
      <c r="G25" s="25"/>
      <c r="H25" s="1"/>
      <c r="I25" s="30"/>
      <c r="J25" s="30"/>
    </row>
    <row r="26" spans="1:10" ht="15" x14ac:dyDescent="0.2">
      <c r="A26" s="1"/>
      <c r="B26" s="1"/>
      <c r="C26" s="25" t="s">
        <v>80</v>
      </c>
      <c r="D26" s="1"/>
      <c r="E26" s="10">
        <f t="shared" ref="E26:F26" si="2">SUM(E15:E24)</f>
        <v>0</v>
      </c>
      <c r="F26" s="10">
        <f t="shared" si="2"/>
        <v>-46820</v>
      </c>
      <c r="G26" s="10">
        <f>E26+F26</f>
        <v>-46820</v>
      </c>
      <c r="H26" s="1"/>
      <c r="I26" s="30"/>
      <c r="J26" s="30"/>
    </row>
    <row r="27" spans="1:10" ht="15" x14ac:dyDescent="0.2">
      <c r="A27" s="1"/>
      <c r="B27" s="1"/>
      <c r="C27" s="25"/>
      <c r="D27" s="1"/>
      <c r="E27" s="25"/>
      <c r="F27" s="25"/>
      <c r="G27" s="25"/>
      <c r="H27" s="1"/>
      <c r="I27" s="30"/>
      <c r="J27" s="30"/>
    </row>
    <row r="28" spans="1:10" ht="15" x14ac:dyDescent="0.2">
      <c r="A28" s="1"/>
      <c r="B28" s="25" t="s">
        <v>372</v>
      </c>
      <c r="C28" s="1"/>
      <c r="D28" s="1"/>
      <c r="E28" s="34"/>
      <c r="F28" s="34"/>
      <c r="G28" s="10"/>
      <c r="H28" s="1"/>
      <c r="I28" s="30"/>
      <c r="J28" s="30"/>
    </row>
    <row r="29" spans="1:10" ht="15" x14ac:dyDescent="0.2">
      <c r="A29" s="1"/>
      <c r="B29" s="1"/>
      <c r="C29" s="1" t="s">
        <v>373</v>
      </c>
      <c r="D29" s="61"/>
      <c r="E29" s="62">
        <v>0</v>
      </c>
      <c r="F29" s="62">
        <v>-1000</v>
      </c>
      <c r="G29" s="10"/>
      <c r="H29" s="1"/>
      <c r="I29" s="30"/>
      <c r="J29" s="30"/>
    </row>
    <row r="30" spans="1:10" ht="15" x14ac:dyDescent="0.2">
      <c r="A30" s="1"/>
      <c r="B30" s="1"/>
      <c r="C30" s="1" t="s">
        <v>190</v>
      </c>
      <c r="D30" s="61"/>
      <c r="E30" s="62">
        <v>0</v>
      </c>
      <c r="F30" s="62">
        <v>-35000</v>
      </c>
      <c r="G30" s="10"/>
      <c r="H30" s="1"/>
      <c r="I30" s="30"/>
      <c r="J30" s="30"/>
    </row>
    <row r="31" spans="1:10" ht="15" x14ac:dyDescent="0.2">
      <c r="A31" s="1"/>
      <c r="B31" s="1"/>
      <c r="C31" s="1" t="s">
        <v>374</v>
      </c>
      <c r="D31" s="61"/>
      <c r="E31" s="62">
        <v>0</v>
      </c>
      <c r="F31" s="62">
        <v>-35000</v>
      </c>
      <c r="G31" s="10"/>
      <c r="H31" s="1"/>
      <c r="I31" s="30"/>
      <c r="J31" s="30"/>
    </row>
    <row r="32" spans="1:10" ht="15" x14ac:dyDescent="0.2">
      <c r="A32" s="1"/>
      <c r="B32" s="1"/>
      <c r="C32" s="1" t="s">
        <v>375</v>
      </c>
      <c r="D32" s="61"/>
      <c r="E32" s="62">
        <v>0</v>
      </c>
      <c r="F32" s="62">
        <v>-3000</v>
      </c>
      <c r="G32" s="10"/>
      <c r="H32" s="1"/>
      <c r="I32" s="30"/>
      <c r="J32" s="30"/>
    </row>
    <row r="33" spans="1:10" ht="15" x14ac:dyDescent="0.2">
      <c r="A33" s="1"/>
      <c r="B33" s="1"/>
      <c r="C33" s="25"/>
      <c r="D33" s="1"/>
      <c r="E33" s="25"/>
      <c r="F33" s="25"/>
      <c r="G33" s="25"/>
      <c r="H33" s="1"/>
      <c r="I33" s="30"/>
      <c r="J33" s="30"/>
    </row>
    <row r="34" spans="1:10" ht="15" x14ac:dyDescent="0.2">
      <c r="A34" s="1"/>
      <c r="B34" s="1"/>
      <c r="C34" s="25" t="s">
        <v>80</v>
      </c>
      <c r="D34" s="1"/>
      <c r="E34" s="10">
        <f t="shared" ref="E34:F34" si="3">SUM(E29:E32)</f>
        <v>0</v>
      </c>
      <c r="F34" s="10">
        <f t="shared" si="3"/>
        <v>-74000</v>
      </c>
      <c r="G34" s="10">
        <f>E34+F34</f>
        <v>-74000</v>
      </c>
      <c r="H34" s="1"/>
      <c r="I34" s="30"/>
      <c r="J34" s="30"/>
    </row>
    <row r="35" spans="1:10" ht="15" x14ac:dyDescent="0.2">
      <c r="A35" s="1"/>
      <c r="B35" s="25"/>
      <c r="C35" s="1"/>
      <c r="D35" s="1"/>
      <c r="E35" s="34"/>
      <c r="F35" s="34"/>
      <c r="G35" s="10"/>
      <c r="H35" s="1"/>
      <c r="I35" s="30"/>
      <c r="J35" s="30"/>
    </row>
    <row r="36" spans="1:10" ht="15" x14ac:dyDescent="0.2">
      <c r="A36" s="1"/>
      <c r="B36" s="25" t="s">
        <v>376</v>
      </c>
      <c r="C36" s="1"/>
      <c r="D36" s="1"/>
      <c r="E36" s="34"/>
      <c r="F36" s="34"/>
      <c r="G36" s="10"/>
      <c r="H36" s="1"/>
      <c r="I36" s="30"/>
      <c r="J36" s="30"/>
    </row>
    <row r="37" spans="1:10" ht="15" x14ac:dyDescent="0.2">
      <c r="A37" s="1"/>
      <c r="B37" s="1"/>
      <c r="C37" s="1" t="s">
        <v>83</v>
      </c>
      <c r="D37" s="61"/>
      <c r="E37" s="62">
        <v>0</v>
      </c>
      <c r="F37" s="62">
        <v>-4950</v>
      </c>
      <c r="G37" s="10"/>
      <c r="H37" s="1"/>
      <c r="I37" s="30"/>
      <c r="J37" s="30"/>
    </row>
    <row r="38" spans="1:10" ht="15" x14ac:dyDescent="0.2">
      <c r="A38" s="1"/>
      <c r="B38" s="1"/>
      <c r="C38" s="1" t="s">
        <v>82</v>
      </c>
      <c r="D38" s="61"/>
      <c r="E38" s="62">
        <v>0</v>
      </c>
      <c r="F38" s="62">
        <v>-5500</v>
      </c>
      <c r="G38" s="10"/>
      <c r="H38" s="1"/>
      <c r="I38" s="30"/>
      <c r="J38" s="30"/>
    </row>
    <row r="39" spans="1:10" ht="15" x14ac:dyDescent="0.2">
      <c r="A39" s="1"/>
      <c r="B39" s="1"/>
      <c r="C39" s="1" t="s">
        <v>377</v>
      </c>
      <c r="D39" s="61"/>
      <c r="E39" s="62">
        <v>0</v>
      </c>
      <c r="F39" s="62">
        <v>-1400</v>
      </c>
      <c r="G39" s="10"/>
      <c r="H39" s="1"/>
      <c r="I39" s="30"/>
      <c r="J39" s="30"/>
    </row>
    <row r="40" spans="1:10" ht="15" x14ac:dyDescent="0.2">
      <c r="A40" s="1"/>
      <c r="B40" s="1"/>
      <c r="C40" s="1" t="s">
        <v>378</v>
      </c>
      <c r="D40" s="61"/>
      <c r="E40" s="62">
        <v>0</v>
      </c>
      <c r="F40" s="62">
        <v>-2700</v>
      </c>
      <c r="G40" s="10"/>
      <c r="H40" s="1"/>
      <c r="I40" s="30"/>
      <c r="J40" s="30"/>
    </row>
    <row r="41" spans="1:10" ht="15" x14ac:dyDescent="0.2">
      <c r="A41" s="1"/>
      <c r="B41" s="1"/>
      <c r="C41" s="1" t="s">
        <v>379</v>
      </c>
      <c r="D41" s="61"/>
      <c r="E41" s="62">
        <v>0</v>
      </c>
      <c r="F41" s="62">
        <v>-500</v>
      </c>
      <c r="G41" s="10"/>
      <c r="H41" s="1"/>
      <c r="I41" s="30"/>
      <c r="J41" s="30"/>
    </row>
    <row r="42" spans="1:10" ht="15" x14ac:dyDescent="0.2">
      <c r="A42" s="1"/>
      <c r="B42" s="1"/>
      <c r="C42" s="25"/>
      <c r="D42" s="1"/>
      <c r="E42" s="25"/>
      <c r="F42" s="25"/>
      <c r="G42" s="25"/>
      <c r="H42" s="1"/>
      <c r="I42" s="30"/>
      <c r="J42" s="30"/>
    </row>
    <row r="43" spans="1:10" ht="15" x14ac:dyDescent="0.2">
      <c r="A43" s="1"/>
      <c r="B43" s="1"/>
      <c r="C43" s="25" t="s">
        <v>80</v>
      </c>
      <c r="D43" s="1"/>
      <c r="E43" s="10">
        <f t="shared" ref="E43:F43" si="4">SUM(E37:E41)</f>
        <v>0</v>
      </c>
      <c r="F43" s="10">
        <f t="shared" si="4"/>
        <v>-15050</v>
      </c>
      <c r="G43" s="10">
        <f>E43+F43</f>
        <v>-15050</v>
      </c>
      <c r="H43" s="1"/>
      <c r="I43" s="30"/>
      <c r="J43" s="30"/>
    </row>
    <row r="44" spans="1:10" ht="15" x14ac:dyDescent="0.2">
      <c r="A44" s="1"/>
      <c r="B44" s="1"/>
      <c r="C44" s="25"/>
      <c r="D44" s="1"/>
      <c r="E44" s="25"/>
      <c r="F44" s="25"/>
      <c r="G44" s="25"/>
      <c r="H44" s="1"/>
      <c r="I44" s="30"/>
      <c r="J44" s="30"/>
    </row>
    <row r="45" spans="1:10" ht="15" x14ac:dyDescent="0.2">
      <c r="A45" s="1"/>
      <c r="B45" s="25" t="s">
        <v>380</v>
      </c>
      <c r="C45" s="1"/>
      <c r="D45" s="1"/>
      <c r="E45" s="34"/>
      <c r="F45" s="34"/>
      <c r="G45" s="10"/>
      <c r="H45" s="1"/>
      <c r="I45" s="30"/>
      <c r="J45" s="30"/>
    </row>
    <row r="46" spans="1:10" ht="15" x14ac:dyDescent="0.2">
      <c r="A46" s="1"/>
      <c r="B46" s="25"/>
      <c r="C46" s="1" t="s">
        <v>172</v>
      </c>
      <c r="D46" s="1"/>
      <c r="E46" s="62">
        <v>0</v>
      </c>
      <c r="F46" s="62">
        <v>-5000</v>
      </c>
      <c r="G46" s="10"/>
      <c r="H46" s="1"/>
      <c r="I46" s="30"/>
      <c r="J46" s="30"/>
    </row>
    <row r="47" spans="1:10" ht="15" x14ac:dyDescent="0.2">
      <c r="A47" s="1"/>
      <c r="B47" s="25"/>
      <c r="C47" s="1" t="s">
        <v>177</v>
      </c>
      <c r="D47" s="1"/>
      <c r="E47" s="62">
        <v>5000</v>
      </c>
      <c r="F47" s="62">
        <v>0</v>
      </c>
      <c r="G47" s="10"/>
      <c r="H47" s="1"/>
      <c r="I47" s="30"/>
      <c r="J47" s="30"/>
    </row>
    <row r="48" spans="1:10" ht="15" x14ac:dyDescent="0.2">
      <c r="A48" s="1"/>
      <c r="B48" s="25"/>
      <c r="C48" s="1" t="s">
        <v>175</v>
      </c>
      <c r="D48" s="1"/>
      <c r="E48" s="62">
        <v>0</v>
      </c>
      <c r="F48" s="10">
        <v>-500</v>
      </c>
      <c r="G48" s="10"/>
      <c r="H48" s="1"/>
      <c r="I48" s="30"/>
      <c r="J48" s="30"/>
    </row>
    <row r="49" spans="1:10" ht="15" x14ac:dyDescent="0.2">
      <c r="A49" s="1"/>
      <c r="B49" s="25"/>
      <c r="C49" s="1" t="s">
        <v>96</v>
      </c>
      <c r="D49" s="1"/>
      <c r="E49" s="62">
        <v>0</v>
      </c>
      <c r="F49" s="10">
        <v>-3000</v>
      </c>
      <c r="G49" s="10"/>
      <c r="H49" s="1"/>
      <c r="I49" s="30"/>
      <c r="J49" s="30"/>
    </row>
    <row r="50" spans="1:10" ht="15" x14ac:dyDescent="0.2">
      <c r="A50" s="1"/>
      <c r="B50" s="25"/>
      <c r="C50" s="1" t="s">
        <v>98</v>
      </c>
      <c r="D50" s="1"/>
      <c r="E50" s="62">
        <v>0</v>
      </c>
      <c r="F50" s="10">
        <v>-1000</v>
      </c>
      <c r="G50" s="10"/>
      <c r="H50" s="1"/>
      <c r="I50" s="30"/>
      <c r="J50" s="30"/>
    </row>
    <row r="51" spans="1:10" ht="15" x14ac:dyDescent="0.2">
      <c r="A51" s="1"/>
      <c r="B51" s="25"/>
      <c r="C51" s="1"/>
      <c r="D51" s="1"/>
      <c r="E51" s="34"/>
      <c r="F51" s="34"/>
      <c r="G51" s="10"/>
      <c r="H51" s="1"/>
      <c r="I51" s="30"/>
      <c r="J51" s="30"/>
    </row>
    <row r="52" spans="1:10" ht="15" x14ac:dyDescent="0.2">
      <c r="A52" s="1"/>
      <c r="B52" s="1"/>
      <c r="C52" s="25" t="s">
        <v>80</v>
      </c>
      <c r="D52" s="1"/>
      <c r="E52" s="10">
        <f t="shared" ref="E52:F52" si="5">SUM(E46:E50)</f>
        <v>5000</v>
      </c>
      <c r="F52" s="10">
        <f t="shared" si="5"/>
        <v>-9500</v>
      </c>
      <c r="G52" s="10">
        <f>E52+F52</f>
        <v>-4500</v>
      </c>
      <c r="H52" s="1"/>
      <c r="I52" s="30"/>
      <c r="J52" s="30"/>
    </row>
    <row r="53" spans="1:10" ht="15" x14ac:dyDescent="0.2">
      <c r="A53" s="1"/>
      <c r="B53" s="25"/>
      <c r="C53" s="1"/>
      <c r="D53" s="1"/>
      <c r="E53" s="34"/>
      <c r="F53" s="34"/>
      <c r="G53" s="10"/>
      <c r="H53" s="1"/>
      <c r="I53" s="30"/>
      <c r="J53" s="30"/>
    </row>
    <row r="54" spans="1:10" ht="15" x14ac:dyDescent="0.2">
      <c r="A54" s="1"/>
      <c r="B54" s="25" t="s">
        <v>381</v>
      </c>
      <c r="C54" s="1"/>
      <c r="D54" s="1"/>
      <c r="E54" s="34"/>
      <c r="F54" s="34"/>
      <c r="G54" s="10"/>
      <c r="H54" s="1"/>
      <c r="I54" s="30"/>
      <c r="J54" s="30"/>
    </row>
    <row r="55" spans="1:10" ht="15" x14ac:dyDescent="0.2">
      <c r="A55" s="1"/>
      <c r="B55" s="1"/>
      <c r="C55" s="1" t="s">
        <v>382</v>
      </c>
      <c r="D55" s="61"/>
      <c r="E55" s="62">
        <v>0</v>
      </c>
      <c r="F55" s="62">
        <v>-8000</v>
      </c>
      <c r="G55" s="10"/>
      <c r="H55" s="1"/>
      <c r="I55" s="30"/>
      <c r="J55" s="30"/>
    </row>
    <row r="56" spans="1:10" ht="15" x14ac:dyDescent="0.2">
      <c r="A56" s="1"/>
      <c r="B56" s="1"/>
      <c r="C56" s="1" t="s">
        <v>383</v>
      </c>
      <c r="D56" s="61"/>
      <c r="E56" s="62">
        <v>0</v>
      </c>
      <c r="F56" s="62">
        <v>-3500</v>
      </c>
      <c r="G56" s="10"/>
      <c r="H56" s="1"/>
      <c r="I56" s="30"/>
      <c r="J56" s="30"/>
    </row>
    <row r="57" spans="1:10" ht="15" x14ac:dyDescent="0.2">
      <c r="A57" s="1"/>
      <c r="B57" s="1"/>
      <c r="C57" s="1" t="s">
        <v>384</v>
      </c>
      <c r="D57" s="61"/>
      <c r="E57" s="62">
        <v>0</v>
      </c>
      <c r="F57" s="62">
        <v>-2700</v>
      </c>
      <c r="G57" s="10"/>
      <c r="H57" s="1"/>
      <c r="I57" s="30"/>
      <c r="J57" s="30"/>
    </row>
    <row r="58" spans="1:10" ht="15" x14ac:dyDescent="0.2">
      <c r="A58" s="1"/>
      <c r="B58" s="1"/>
      <c r="C58" s="25"/>
      <c r="D58" s="1"/>
      <c r="E58" s="25"/>
      <c r="F58" s="25"/>
      <c r="G58" s="25"/>
      <c r="H58" s="1"/>
      <c r="I58" s="30"/>
      <c r="J58" s="30"/>
    </row>
    <row r="59" spans="1:10" ht="15" x14ac:dyDescent="0.2">
      <c r="A59" s="1"/>
      <c r="B59" s="1"/>
      <c r="C59" s="25" t="s">
        <v>80</v>
      </c>
      <c r="D59" s="1"/>
      <c r="E59" s="10">
        <f>SUM(E55:E56)</f>
        <v>0</v>
      </c>
      <c r="F59" s="10">
        <f>SUM(F55:F57)</f>
        <v>-14200</v>
      </c>
      <c r="G59" s="10">
        <f>E59+F59</f>
        <v>-14200</v>
      </c>
      <c r="H59" s="1"/>
      <c r="I59" s="30"/>
      <c r="J59" s="30"/>
    </row>
    <row r="60" spans="1:10" ht="15" x14ac:dyDescent="0.2">
      <c r="A60" s="1"/>
      <c r="B60" s="1"/>
      <c r="C60" s="25"/>
      <c r="D60" s="1"/>
      <c r="E60" s="25"/>
      <c r="F60" s="25"/>
      <c r="G60" s="25"/>
      <c r="H60" s="1"/>
      <c r="I60" s="30"/>
      <c r="J60" s="30"/>
    </row>
    <row r="61" spans="1:10" ht="15" x14ac:dyDescent="0.2">
      <c r="A61" s="1"/>
      <c r="B61" s="25" t="s">
        <v>385</v>
      </c>
      <c r="C61" s="1"/>
      <c r="D61" s="1"/>
      <c r="E61" s="34"/>
      <c r="F61" s="34"/>
      <c r="G61" s="10"/>
      <c r="H61" s="1"/>
      <c r="I61" s="30"/>
      <c r="J61" s="30"/>
    </row>
    <row r="62" spans="1:10" ht="15" x14ac:dyDescent="0.2">
      <c r="A62" s="1"/>
      <c r="B62" s="1"/>
      <c r="C62" s="1" t="s">
        <v>386</v>
      </c>
      <c r="D62" s="61"/>
      <c r="E62" s="62">
        <v>0</v>
      </c>
      <c r="F62" s="62">
        <v>-3400</v>
      </c>
      <c r="G62" s="10"/>
      <c r="H62" s="1"/>
      <c r="I62" s="30"/>
      <c r="J62" s="30"/>
    </row>
    <row r="63" spans="1:10" ht="15" x14ac:dyDescent="0.2">
      <c r="A63" s="1"/>
      <c r="B63" s="1"/>
      <c r="C63" s="1" t="s">
        <v>387</v>
      </c>
      <c r="D63" s="61"/>
      <c r="E63" s="62">
        <v>0</v>
      </c>
      <c r="F63" s="62">
        <v>-1700</v>
      </c>
      <c r="G63" s="10"/>
      <c r="H63" s="1"/>
      <c r="I63" s="30"/>
      <c r="J63" s="30"/>
    </row>
    <row r="64" spans="1:10" ht="15" x14ac:dyDescent="0.2">
      <c r="A64" s="1"/>
      <c r="B64" s="1"/>
      <c r="C64" s="1" t="s">
        <v>388</v>
      </c>
      <c r="D64" s="61"/>
      <c r="E64" s="62">
        <v>0</v>
      </c>
      <c r="F64" s="62">
        <v>-1500</v>
      </c>
      <c r="G64" s="10"/>
      <c r="H64" s="1"/>
      <c r="I64" s="30"/>
      <c r="J64" s="30"/>
    </row>
    <row r="65" spans="1:10" ht="15" x14ac:dyDescent="0.2">
      <c r="A65" s="1"/>
      <c r="B65" s="1"/>
      <c r="C65" s="25"/>
      <c r="D65" s="1"/>
      <c r="E65" s="25"/>
      <c r="F65" s="25"/>
      <c r="G65" s="25"/>
      <c r="H65" s="1"/>
      <c r="I65" s="30"/>
      <c r="J65" s="30"/>
    </row>
    <row r="66" spans="1:10" ht="15" x14ac:dyDescent="0.2">
      <c r="A66" s="1"/>
      <c r="B66" s="1"/>
      <c r="C66" s="25" t="s">
        <v>80</v>
      </c>
      <c r="D66" s="1"/>
      <c r="E66" s="10">
        <f t="shared" ref="E66:F66" si="6">SUM(E62:E64)</f>
        <v>0</v>
      </c>
      <c r="F66" s="10">
        <f t="shared" si="6"/>
        <v>-6600</v>
      </c>
      <c r="G66" s="10">
        <f>E66+F66</f>
        <v>-6600</v>
      </c>
      <c r="H66" s="1"/>
      <c r="I66" s="30"/>
      <c r="J66" s="30"/>
    </row>
    <row r="67" spans="1:10" ht="15" x14ac:dyDescent="0.2">
      <c r="A67" s="1"/>
      <c r="B67" s="1"/>
      <c r="C67" s="25"/>
      <c r="D67" s="1"/>
      <c r="E67" s="25"/>
      <c r="F67" s="25"/>
      <c r="G67" s="25"/>
      <c r="H67" s="1"/>
      <c r="I67" s="30"/>
      <c r="J67" s="30"/>
    </row>
    <row r="68" spans="1:10" ht="15" x14ac:dyDescent="0.2">
      <c r="A68" s="1"/>
      <c r="B68" s="25" t="s">
        <v>389</v>
      </c>
      <c r="C68" s="1"/>
      <c r="D68" s="1"/>
      <c r="E68" s="34"/>
      <c r="F68" s="34"/>
      <c r="G68" s="10"/>
      <c r="H68" s="1"/>
      <c r="I68" s="30"/>
      <c r="J68" s="30"/>
    </row>
    <row r="69" spans="1:10" ht="15" x14ac:dyDescent="0.2">
      <c r="A69" s="1"/>
      <c r="B69" s="1"/>
      <c r="C69" s="1" t="s">
        <v>390</v>
      </c>
      <c r="D69" s="61"/>
      <c r="E69" s="62">
        <v>0</v>
      </c>
      <c r="F69" s="62">
        <v>-900</v>
      </c>
      <c r="G69" s="10"/>
      <c r="H69" s="1"/>
      <c r="I69" s="30"/>
      <c r="J69" s="30"/>
    </row>
    <row r="70" spans="1:10" ht="15" x14ac:dyDescent="0.2">
      <c r="A70" s="1"/>
      <c r="B70" s="1"/>
      <c r="C70" s="1" t="s">
        <v>391</v>
      </c>
      <c r="D70" s="61"/>
      <c r="E70" s="62">
        <v>0</v>
      </c>
      <c r="F70" s="62">
        <v>-1000</v>
      </c>
      <c r="G70" s="10"/>
      <c r="H70" s="1"/>
      <c r="I70" s="30"/>
      <c r="J70" s="30"/>
    </row>
    <row r="71" spans="1:10" ht="15" x14ac:dyDescent="0.2">
      <c r="A71" s="1"/>
      <c r="B71" s="1"/>
      <c r="C71" s="1" t="s">
        <v>392</v>
      </c>
      <c r="D71" s="61"/>
      <c r="E71" s="62">
        <v>0</v>
      </c>
      <c r="F71" s="62">
        <v>-900</v>
      </c>
      <c r="G71" s="10"/>
      <c r="H71" s="1"/>
      <c r="I71" s="30"/>
      <c r="J71" s="30"/>
    </row>
    <row r="72" spans="1:10" ht="15" x14ac:dyDescent="0.2">
      <c r="A72" s="1"/>
      <c r="B72" s="1"/>
      <c r="C72" s="1" t="s">
        <v>393</v>
      </c>
      <c r="D72" s="61"/>
      <c r="E72" s="62">
        <v>0</v>
      </c>
      <c r="F72" s="62">
        <v>-500</v>
      </c>
      <c r="G72" s="10"/>
      <c r="H72" s="1"/>
      <c r="I72" s="30"/>
      <c r="J72" s="30"/>
    </row>
    <row r="73" spans="1:10" ht="15" x14ac:dyDescent="0.2">
      <c r="A73" s="1"/>
      <c r="B73" s="1"/>
      <c r="C73" s="25"/>
      <c r="D73" s="1"/>
      <c r="E73" s="25"/>
      <c r="F73" s="25"/>
      <c r="G73" s="25"/>
      <c r="H73" s="1"/>
      <c r="I73" s="30"/>
      <c r="J73" s="30"/>
    </row>
    <row r="74" spans="1:10" ht="15" x14ac:dyDescent="0.2">
      <c r="A74" s="1"/>
      <c r="B74" s="1"/>
      <c r="C74" s="25" t="s">
        <v>80</v>
      </c>
      <c r="D74" s="1"/>
      <c r="E74" s="10">
        <f t="shared" ref="E74:F74" si="7">SUM(E69:E72)</f>
        <v>0</v>
      </c>
      <c r="F74" s="10">
        <f t="shared" si="7"/>
        <v>-3300</v>
      </c>
      <c r="G74" s="10">
        <f>E74+F74</f>
        <v>-3300</v>
      </c>
      <c r="H74" s="1"/>
      <c r="I74" s="30"/>
      <c r="J74" s="30"/>
    </row>
    <row r="75" spans="1:10" ht="15" x14ac:dyDescent="0.2">
      <c r="A75" s="1"/>
      <c r="B75" s="1"/>
      <c r="C75" s="25"/>
      <c r="D75" s="1"/>
      <c r="E75" s="25"/>
      <c r="F75" s="25"/>
      <c r="G75" s="25"/>
      <c r="H75" s="1"/>
      <c r="I75" s="30"/>
      <c r="J75" s="30"/>
    </row>
    <row r="76" spans="1:10" ht="15" x14ac:dyDescent="0.2">
      <c r="A76" s="1"/>
      <c r="B76" s="25" t="s">
        <v>394</v>
      </c>
      <c r="C76" s="1"/>
      <c r="D76" s="1"/>
      <c r="E76" s="34"/>
      <c r="F76" s="34"/>
      <c r="G76" s="10"/>
      <c r="H76" s="1"/>
      <c r="I76" s="30"/>
      <c r="J76" s="30"/>
    </row>
    <row r="77" spans="1:10" ht="15" x14ac:dyDescent="0.2">
      <c r="A77" s="1"/>
      <c r="B77" s="1"/>
      <c r="C77" s="1" t="s">
        <v>395</v>
      </c>
      <c r="D77" s="61"/>
      <c r="E77" s="62">
        <v>0</v>
      </c>
      <c r="F77" s="62">
        <v>-1150</v>
      </c>
      <c r="G77" s="10"/>
      <c r="H77" s="1"/>
      <c r="I77" s="30"/>
      <c r="J77" s="30"/>
    </row>
    <row r="78" spans="1:10" ht="15" x14ac:dyDescent="0.2">
      <c r="A78" s="1"/>
      <c r="B78" s="1"/>
      <c r="C78" s="1" t="s">
        <v>396</v>
      </c>
      <c r="D78" s="61"/>
      <c r="E78" s="62">
        <v>0</v>
      </c>
      <c r="F78" s="62">
        <v>-2547</v>
      </c>
      <c r="G78" s="10"/>
      <c r="H78" s="1"/>
      <c r="I78" s="30"/>
      <c r="J78" s="30"/>
    </row>
    <row r="79" spans="1:10" ht="15" x14ac:dyDescent="0.2">
      <c r="A79" s="1"/>
      <c r="B79" s="1"/>
      <c r="C79" s="1" t="s">
        <v>397</v>
      </c>
      <c r="D79" s="61"/>
      <c r="E79" s="62">
        <v>0</v>
      </c>
      <c r="F79" s="62">
        <v>-453</v>
      </c>
      <c r="G79" s="10"/>
      <c r="H79" s="1"/>
      <c r="I79" s="30"/>
      <c r="J79" s="30"/>
    </row>
    <row r="80" spans="1:10" ht="15" x14ac:dyDescent="0.2">
      <c r="A80" s="1"/>
      <c r="B80" s="1"/>
      <c r="C80" s="25"/>
      <c r="D80" s="1"/>
      <c r="E80" s="25"/>
      <c r="F80" s="25"/>
      <c r="G80" s="25"/>
      <c r="H80" s="1"/>
      <c r="I80" s="30"/>
      <c r="J80" s="30"/>
    </row>
    <row r="81" spans="1:10" ht="15" x14ac:dyDescent="0.2">
      <c r="A81" s="1"/>
      <c r="B81" s="1"/>
      <c r="C81" s="25" t="s">
        <v>80</v>
      </c>
      <c r="D81" s="1"/>
      <c r="E81" s="10">
        <f t="shared" ref="E81:F81" si="8">SUM(E77:E79)</f>
        <v>0</v>
      </c>
      <c r="F81" s="10">
        <f t="shared" si="8"/>
        <v>-4150</v>
      </c>
      <c r="G81" s="10">
        <f>E81+F81</f>
        <v>-4150</v>
      </c>
      <c r="H81" s="1"/>
      <c r="I81" s="30"/>
      <c r="J81" s="30"/>
    </row>
    <row r="82" spans="1:10" ht="15" x14ac:dyDescent="0.2">
      <c r="A82" s="1"/>
      <c r="B82" s="1"/>
      <c r="C82" s="25"/>
      <c r="D82" s="1"/>
      <c r="E82" s="25"/>
      <c r="F82" s="25"/>
      <c r="G82" s="25"/>
      <c r="H82" s="1"/>
      <c r="I82" s="30"/>
      <c r="J82" s="30"/>
    </row>
    <row r="83" spans="1:10" ht="15" x14ac:dyDescent="0.2">
      <c r="A83" s="1"/>
      <c r="B83" s="25" t="s">
        <v>398</v>
      </c>
      <c r="C83" s="1"/>
      <c r="D83" s="1"/>
      <c r="E83" s="34"/>
      <c r="F83" s="34"/>
      <c r="G83" s="10"/>
      <c r="H83" s="1"/>
      <c r="I83" s="30"/>
      <c r="J83" s="30"/>
    </row>
    <row r="84" spans="1:10" ht="15" x14ac:dyDescent="0.2">
      <c r="A84" s="1"/>
      <c r="B84" s="1"/>
      <c r="C84" s="1" t="s">
        <v>96</v>
      </c>
      <c r="D84" s="61"/>
      <c r="E84" s="62">
        <v>0</v>
      </c>
      <c r="F84" s="62">
        <v>-600</v>
      </c>
      <c r="G84" s="10"/>
      <c r="H84" s="1"/>
      <c r="I84" s="30"/>
      <c r="J84" s="30"/>
    </row>
    <row r="85" spans="1:10" ht="15" x14ac:dyDescent="0.2">
      <c r="A85" s="1"/>
      <c r="B85" s="1"/>
      <c r="C85" s="1" t="s">
        <v>175</v>
      </c>
      <c r="D85" s="61"/>
      <c r="E85" s="62">
        <v>0</v>
      </c>
      <c r="F85" s="62">
        <v>-200</v>
      </c>
      <c r="G85" s="10"/>
      <c r="H85" s="1"/>
      <c r="I85" s="30"/>
      <c r="J85" s="30"/>
    </row>
    <row r="86" spans="1:10" ht="15" x14ac:dyDescent="0.2">
      <c r="A86" s="1"/>
      <c r="B86" s="1"/>
      <c r="C86" s="1" t="s">
        <v>97</v>
      </c>
      <c r="D86" s="61"/>
      <c r="E86" s="62">
        <v>0</v>
      </c>
      <c r="F86" s="62">
        <v>-200</v>
      </c>
      <c r="G86" s="10"/>
      <c r="H86" s="1"/>
      <c r="I86" s="30"/>
      <c r="J86" s="30"/>
    </row>
    <row r="87" spans="1:10" ht="15" x14ac:dyDescent="0.2">
      <c r="A87" s="1"/>
      <c r="B87" s="1"/>
      <c r="C87" s="1" t="s">
        <v>399</v>
      </c>
      <c r="D87" s="61"/>
      <c r="E87" s="62">
        <v>0</v>
      </c>
      <c r="F87" s="62">
        <v>-500</v>
      </c>
      <c r="G87" s="10"/>
      <c r="H87" s="1"/>
      <c r="I87" s="30"/>
      <c r="J87" s="30"/>
    </row>
    <row r="88" spans="1:10" ht="15" x14ac:dyDescent="0.2">
      <c r="A88" s="1"/>
      <c r="B88" s="1"/>
      <c r="C88" s="1" t="s">
        <v>94</v>
      </c>
      <c r="D88" s="61"/>
      <c r="E88" s="62">
        <v>0</v>
      </c>
      <c r="F88" s="62">
        <v>-10000</v>
      </c>
      <c r="G88" s="10"/>
      <c r="H88" s="1"/>
      <c r="I88" s="30"/>
      <c r="J88" s="30"/>
    </row>
    <row r="89" spans="1:10" ht="15" x14ac:dyDescent="0.2">
      <c r="A89" s="1"/>
      <c r="B89" s="1"/>
      <c r="C89" s="25"/>
      <c r="D89" s="1"/>
      <c r="E89" s="25"/>
      <c r="F89" s="25"/>
      <c r="G89" s="25"/>
      <c r="H89" s="1"/>
      <c r="I89" s="30"/>
      <c r="J89" s="30"/>
    </row>
    <row r="90" spans="1:10" ht="15" x14ac:dyDescent="0.2">
      <c r="A90" s="1"/>
      <c r="B90" s="1"/>
      <c r="C90" s="25" t="s">
        <v>80</v>
      </c>
      <c r="D90" s="1"/>
      <c r="E90" s="10">
        <f>SUM(E84:E87)</f>
        <v>0</v>
      </c>
      <c r="F90" s="10">
        <f>SUM(F84:F88)</f>
        <v>-11500</v>
      </c>
      <c r="G90" s="10">
        <f>E90+F90</f>
        <v>-11500</v>
      </c>
      <c r="H90" s="1"/>
      <c r="I90" s="30"/>
      <c r="J90" s="30"/>
    </row>
    <row r="91" spans="1:10" ht="15" x14ac:dyDescent="0.2">
      <c r="A91" s="1"/>
      <c r="B91" s="1"/>
      <c r="C91" s="25"/>
      <c r="D91" s="1"/>
      <c r="E91" s="25"/>
      <c r="F91" s="25"/>
      <c r="G91" s="25"/>
      <c r="H91" s="1"/>
      <c r="I91" s="30"/>
      <c r="J91" s="30"/>
    </row>
    <row r="92" spans="1:10" ht="15" x14ac:dyDescent="0.2">
      <c r="A92" s="1"/>
      <c r="B92" s="25" t="s">
        <v>400</v>
      </c>
      <c r="C92" s="1"/>
      <c r="D92" s="1"/>
      <c r="E92" s="34"/>
      <c r="F92" s="34"/>
      <c r="G92" s="10"/>
      <c r="H92" s="1"/>
      <c r="I92" s="30"/>
      <c r="J92" s="30"/>
    </row>
    <row r="93" spans="1:10" ht="15" x14ac:dyDescent="0.2">
      <c r="A93" s="1"/>
      <c r="B93" s="1"/>
      <c r="C93" s="1" t="s">
        <v>401</v>
      </c>
      <c r="D93" s="61"/>
      <c r="E93" s="62">
        <v>0</v>
      </c>
      <c r="F93" s="62">
        <f>-282</f>
        <v>-282</v>
      </c>
      <c r="G93" s="10"/>
      <c r="H93" s="1"/>
      <c r="I93" s="30"/>
      <c r="J93" s="30"/>
    </row>
    <row r="94" spans="1:10" ht="15" x14ac:dyDescent="0.2">
      <c r="A94" s="1"/>
      <c r="B94" s="1"/>
      <c r="C94" s="1" t="s">
        <v>402</v>
      </c>
      <c r="D94" s="61"/>
      <c r="E94" s="62">
        <v>0</v>
      </c>
      <c r="F94" s="62">
        <v>-200</v>
      </c>
      <c r="G94" s="10"/>
      <c r="H94" s="1"/>
      <c r="I94" s="30"/>
      <c r="J94" s="30"/>
    </row>
    <row r="95" spans="1:10" ht="15" x14ac:dyDescent="0.2">
      <c r="A95" s="1"/>
      <c r="B95" s="1"/>
      <c r="C95" s="1" t="s">
        <v>403</v>
      </c>
      <c r="D95" s="61"/>
      <c r="E95" s="62">
        <v>0</v>
      </c>
      <c r="F95" s="62">
        <v>-170</v>
      </c>
      <c r="G95" s="10"/>
      <c r="H95" s="1"/>
      <c r="I95" s="30"/>
      <c r="J95" s="30"/>
    </row>
    <row r="96" spans="1:10" ht="15" x14ac:dyDescent="0.2">
      <c r="A96" s="1"/>
      <c r="B96" s="1"/>
      <c r="C96" s="1" t="s">
        <v>404</v>
      </c>
      <c r="D96" s="61"/>
      <c r="E96" s="62">
        <v>0</v>
      </c>
      <c r="F96" s="62">
        <v>-794</v>
      </c>
      <c r="G96" s="10"/>
      <c r="H96" s="1"/>
      <c r="I96" s="30"/>
      <c r="J96" s="30"/>
    </row>
    <row r="97" spans="1:10" ht="15" x14ac:dyDescent="0.2">
      <c r="A97" s="1"/>
      <c r="B97" s="1"/>
      <c r="C97" s="25"/>
      <c r="D97" s="1"/>
      <c r="E97" s="25"/>
      <c r="F97" s="25"/>
      <c r="G97" s="25"/>
      <c r="H97" s="1"/>
      <c r="I97" s="30"/>
      <c r="J97" s="30"/>
    </row>
    <row r="98" spans="1:10" ht="15" x14ac:dyDescent="0.2">
      <c r="A98" s="1"/>
      <c r="B98" s="1"/>
      <c r="C98" s="25" t="s">
        <v>80</v>
      </c>
      <c r="D98" s="1"/>
      <c r="E98" s="10">
        <f t="shared" ref="E98:F98" si="9">SUM(E93:E96)</f>
        <v>0</v>
      </c>
      <c r="F98" s="10">
        <f t="shared" si="9"/>
        <v>-1446</v>
      </c>
      <c r="G98" s="10">
        <f>E98+F98</f>
        <v>-1446</v>
      </c>
      <c r="H98" s="1"/>
      <c r="I98" s="30"/>
      <c r="J98" s="30"/>
    </row>
    <row r="99" spans="1:10" ht="15" x14ac:dyDescent="0.2">
      <c r="A99" s="1"/>
      <c r="B99" s="1"/>
      <c r="C99" s="25"/>
      <c r="D99" s="1"/>
      <c r="E99" s="25"/>
      <c r="F99" s="25"/>
      <c r="G99" s="25"/>
      <c r="H99" s="1"/>
      <c r="I99" s="30"/>
      <c r="J99" s="30"/>
    </row>
    <row r="100" spans="1:10" ht="15" x14ac:dyDescent="0.2">
      <c r="A100" s="1"/>
      <c r="B100" s="25" t="s">
        <v>405</v>
      </c>
      <c r="C100" s="1"/>
      <c r="D100" s="1"/>
      <c r="E100" s="10"/>
      <c r="F100" s="10"/>
      <c r="G100" s="10"/>
      <c r="H100" s="1"/>
      <c r="I100" s="30"/>
      <c r="J100" s="30"/>
    </row>
    <row r="101" spans="1:10" ht="15" x14ac:dyDescent="0.2">
      <c r="A101" s="1"/>
      <c r="B101" s="1"/>
      <c r="C101" s="1" t="s">
        <v>161</v>
      </c>
      <c r="D101" s="61"/>
      <c r="E101" s="62">
        <v>0</v>
      </c>
      <c r="F101" s="62">
        <v>-40000</v>
      </c>
      <c r="G101" s="10"/>
      <c r="H101" s="1"/>
      <c r="I101" s="30"/>
      <c r="J101" s="30"/>
    </row>
    <row r="102" spans="1:10" ht="15" x14ac:dyDescent="0.2">
      <c r="A102" s="1"/>
      <c r="B102" s="1"/>
      <c r="C102" s="1" t="s">
        <v>406</v>
      </c>
      <c r="D102" s="61"/>
      <c r="E102" s="62">
        <v>40000</v>
      </c>
      <c r="F102" s="10">
        <v>0</v>
      </c>
      <c r="G102" s="10"/>
      <c r="H102" s="1"/>
      <c r="I102" s="30"/>
      <c r="J102" s="30"/>
    </row>
    <row r="103" spans="1:10" ht="15" x14ac:dyDescent="0.2">
      <c r="A103" s="1"/>
      <c r="B103" s="1"/>
      <c r="C103" s="1"/>
      <c r="D103" s="1"/>
      <c r="E103" s="10"/>
      <c r="F103" s="10"/>
      <c r="G103" s="10"/>
      <c r="H103" s="1"/>
      <c r="I103" s="30"/>
      <c r="J103" s="30"/>
    </row>
    <row r="104" spans="1:10" ht="15" x14ac:dyDescent="0.2">
      <c r="A104" s="1"/>
      <c r="B104" s="1"/>
      <c r="C104" s="25" t="s">
        <v>80</v>
      </c>
      <c r="D104" s="1"/>
      <c r="E104" s="10">
        <f t="shared" ref="E104:F104" si="10">SUM(E101:E102)</f>
        <v>40000</v>
      </c>
      <c r="F104" s="10">
        <f t="shared" si="10"/>
        <v>-40000</v>
      </c>
      <c r="G104" s="10">
        <f>E104+F104</f>
        <v>0</v>
      </c>
      <c r="H104" s="1"/>
      <c r="I104" s="30"/>
      <c r="J104" s="30"/>
    </row>
    <row r="105" spans="1:10" ht="15" x14ac:dyDescent="0.2">
      <c r="A105" s="1"/>
      <c r="B105" s="1"/>
      <c r="C105" s="25"/>
      <c r="D105" s="1"/>
      <c r="E105" s="25"/>
      <c r="F105" s="25"/>
      <c r="G105" s="25"/>
      <c r="H105" s="1"/>
      <c r="I105" s="30"/>
      <c r="J105" s="30"/>
    </row>
    <row r="106" spans="1:10" ht="15" x14ac:dyDescent="0.2">
      <c r="A106" s="1"/>
      <c r="B106" s="25" t="s">
        <v>407</v>
      </c>
      <c r="C106" s="1"/>
      <c r="D106" s="1"/>
      <c r="E106" s="10"/>
      <c r="F106" s="10"/>
      <c r="G106" s="10"/>
      <c r="H106" s="1"/>
      <c r="I106" s="30"/>
      <c r="J106" s="30"/>
    </row>
    <row r="107" spans="1:10" ht="15" x14ac:dyDescent="0.2">
      <c r="A107" s="1"/>
      <c r="B107" s="1"/>
      <c r="C107" s="1" t="s">
        <v>408</v>
      </c>
      <c r="D107" s="61"/>
      <c r="E107" s="62">
        <v>0</v>
      </c>
      <c r="F107" s="62">
        <v>-1000</v>
      </c>
      <c r="G107" s="10"/>
      <c r="H107" s="1"/>
      <c r="I107" s="30"/>
      <c r="J107" s="30"/>
    </row>
    <row r="108" spans="1:10" ht="15" x14ac:dyDescent="0.2">
      <c r="A108" s="1"/>
      <c r="B108" s="1"/>
      <c r="C108" s="1"/>
      <c r="D108" s="1"/>
      <c r="E108" s="10"/>
      <c r="F108" s="10"/>
      <c r="G108" s="10"/>
      <c r="H108" s="1"/>
      <c r="I108" s="30"/>
      <c r="J108" s="30"/>
    </row>
    <row r="109" spans="1:10" ht="15" x14ac:dyDescent="0.2">
      <c r="A109" s="1"/>
      <c r="B109" s="1"/>
      <c r="C109" s="25" t="s">
        <v>80</v>
      </c>
      <c r="D109" s="1"/>
      <c r="E109" s="10">
        <f t="shared" ref="E109:F109" si="11">SUM(E107)</f>
        <v>0</v>
      </c>
      <c r="F109" s="10">
        <f t="shared" si="11"/>
        <v>-1000</v>
      </c>
      <c r="G109" s="10">
        <f>E109+F109</f>
        <v>-1000</v>
      </c>
      <c r="H109" s="1"/>
      <c r="I109" s="30"/>
      <c r="J109" s="30"/>
    </row>
    <row r="110" spans="1:10" ht="15" x14ac:dyDescent="0.2">
      <c r="A110" s="1"/>
      <c r="B110" s="1"/>
      <c r="C110" s="25"/>
      <c r="D110" s="1"/>
      <c r="E110" s="25"/>
      <c r="F110" s="25"/>
      <c r="G110" s="25"/>
      <c r="H110" s="1"/>
      <c r="I110" s="30"/>
      <c r="J110" s="30"/>
    </row>
    <row r="111" spans="1:10" ht="15" x14ac:dyDescent="0.2">
      <c r="A111" s="1"/>
      <c r="B111" s="25" t="s">
        <v>409</v>
      </c>
      <c r="C111" s="1"/>
      <c r="D111" s="1"/>
      <c r="E111" s="34"/>
      <c r="F111" s="34"/>
      <c r="G111" s="10"/>
      <c r="H111" s="1"/>
      <c r="I111" s="30"/>
      <c r="J111" s="30"/>
    </row>
    <row r="112" spans="1:10" ht="15" x14ac:dyDescent="0.2">
      <c r="A112" s="1"/>
      <c r="B112" s="1"/>
      <c r="C112" s="1" t="s">
        <v>410</v>
      </c>
      <c r="D112" s="61"/>
      <c r="E112" s="62">
        <v>20000</v>
      </c>
      <c r="F112" s="62">
        <v>0</v>
      </c>
      <c r="G112" s="10"/>
      <c r="H112" s="1"/>
      <c r="I112" s="30"/>
      <c r="J112" s="30"/>
    </row>
    <row r="113" spans="1:10" ht="15" x14ac:dyDescent="0.2">
      <c r="A113" s="1"/>
      <c r="B113" s="1"/>
      <c r="C113" s="1" t="s">
        <v>411</v>
      </c>
      <c r="D113" s="61"/>
      <c r="E113" s="62">
        <v>0</v>
      </c>
      <c r="F113" s="62">
        <v>-22000</v>
      </c>
      <c r="G113" s="10"/>
      <c r="H113" s="1"/>
      <c r="I113" s="30"/>
      <c r="J113" s="30"/>
    </row>
    <row r="114" spans="1:10" ht="15" x14ac:dyDescent="0.2">
      <c r="A114" s="1"/>
      <c r="B114" s="1"/>
      <c r="C114" s="1" t="s">
        <v>96</v>
      </c>
      <c r="D114" s="61"/>
      <c r="E114" s="62">
        <v>0</v>
      </c>
      <c r="F114" s="62">
        <v>-4500</v>
      </c>
      <c r="G114" s="10"/>
      <c r="H114" s="1"/>
      <c r="I114" s="30"/>
      <c r="J114" s="30"/>
    </row>
    <row r="115" spans="1:10" ht="15" x14ac:dyDescent="0.2">
      <c r="A115" s="1"/>
      <c r="B115" s="1"/>
      <c r="C115" s="25"/>
      <c r="D115" s="1"/>
      <c r="E115" s="25"/>
      <c r="F115" s="25"/>
      <c r="G115" s="25"/>
      <c r="H115" s="1"/>
      <c r="I115" s="30"/>
      <c r="J115" s="30"/>
    </row>
    <row r="116" spans="1:10" ht="15" x14ac:dyDescent="0.2">
      <c r="A116" s="1"/>
      <c r="B116" s="1"/>
      <c r="C116" s="25" t="s">
        <v>80</v>
      </c>
      <c r="D116" s="1"/>
      <c r="E116" s="10">
        <f t="shared" ref="E116:F116" si="12">SUM(E112:E114)</f>
        <v>20000</v>
      </c>
      <c r="F116" s="10">
        <f t="shared" si="12"/>
        <v>-26500</v>
      </c>
      <c r="G116" s="10">
        <f>E116+F116</f>
        <v>-6500</v>
      </c>
      <c r="H116" s="1"/>
      <c r="I116" s="30"/>
      <c r="J116" s="30"/>
    </row>
    <row r="117" spans="1:10" ht="15" x14ac:dyDescent="0.2">
      <c r="A117" s="1"/>
      <c r="B117" s="1"/>
      <c r="C117" s="25"/>
      <c r="D117" s="1"/>
      <c r="E117" s="25"/>
      <c r="F117" s="25"/>
      <c r="G117" s="25"/>
      <c r="H117" s="1"/>
      <c r="I117" s="30"/>
      <c r="J117" s="30"/>
    </row>
    <row r="118" spans="1:10" ht="15" x14ac:dyDescent="0.2">
      <c r="A118" s="1"/>
      <c r="B118" s="25" t="s">
        <v>412</v>
      </c>
      <c r="C118" s="1"/>
      <c r="D118" s="1"/>
      <c r="E118" s="34"/>
      <c r="F118" s="34"/>
      <c r="G118" s="10"/>
      <c r="H118" s="1"/>
      <c r="I118" s="30"/>
      <c r="J118" s="30"/>
    </row>
    <row r="119" spans="1:10" ht="15" x14ac:dyDescent="0.2">
      <c r="A119" s="1"/>
      <c r="B119" s="1"/>
      <c r="C119" s="1" t="s">
        <v>94</v>
      </c>
      <c r="D119" s="61"/>
      <c r="E119" s="62">
        <v>0</v>
      </c>
      <c r="F119" s="62">
        <v>-6900</v>
      </c>
      <c r="G119" s="10"/>
      <c r="H119" s="1"/>
      <c r="I119" s="30"/>
      <c r="J119" s="30"/>
    </row>
    <row r="120" spans="1:10" ht="15" x14ac:dyDescent="0.2">
      <c r="A120" s="1"/>
      <c r="B120" s="1"/>
      <c r="C120" s="1" t="s">
        <v>302</v>
      </c>
      <c r="D120" s="61"/>
      <c r="E120" s="62">
        <v>0</v>
      </c>
      <c r="F120" s="62">
        <v>-1700</v>
      </c>
      <c r="G120" s="10"/>
      <c r="H120" s="1"/>
      <c r="I120" s="30"/>
      <c r="J120" s="30"/>
    </row>
    <row r="121" spans="1:10" ht="15" x14ac:dyDescent="0.2">
      <c r="A121" s="1"/>
      <c r="B121" s="1"/>
      <c r="C121" s="1" t="s">
        <v>98</v>
      </c>
      <c r="D121" s="61"/>
      <c r="E121" s="62">
        <v>0</v>
      </c>
      <c r="F121" s="62">
        <v>-900</v>
      </c>
      <c r="G121" s="10"/>
      <c r="H121" s="1"/>
      <c r="I121" s="30"/>
      <c r="J121" s="30"/>
    </row>
    <row r="122" spans="1:10" ht="15" x14ac:dyDescent="0.2">
      <c r="A122" s="1"/>
      <c r="B122" s="1"/>
      <c r="C122" s="25"/>
      <c r="D122" s="1"/>
      <c r="E122" s="25"/>
      <c r="F122" s="25"/>
      <c r="G122" s="25"/>
      <c r="H122" s="1"/>
      <c r="I122" s="30"/>
      <c r="J122" s="30"/>
    </row>
    <row r="123" spans="1:10" ht="15" x14ac:dyDescent="0.2">
      <c r="A123" s="1"/>
      <c r="B123" s="1"/>
      <c r="C123" s="25" t="s">
        <v>80</v>
      </c>
      <c r="D123" s="1"/>
      <c r="E123" s="10">
        <f t="shared" ref="E123:F123" si="13">SUM(E119:E121)</f>
        <v>0</v>
      </c>
      <c r="F123" s="10">
        <f t="shared" si="13"/>
        <v>-9500</v>
      </c>
      <c r="G123" s="10">
        <f>E123+F123</f>
        <v>-9500</v>
      </c>
      <c r="H123" s="1"/>
      <c r="I123" s="30"/>
      <c r="J123" s="30"/>
    </row>
    <row r="124" spans="1:10" ht="15" x14ac:dyDescent="0.2">
      <c r="A124" s="1"/>
      <c r="B124" s="1"/>
      <c r="C124" s="25"/>
      <c r="D124" s="1"/>
      <c r="E124" s="25"/>
      <c r="F124" s="25"/>
      <c r="G124" s="25"/>
      <c r="H124" s="1"/>
      <c r="I124" s="30"/>
      <c r="J124" s="30"/>
    </row>
    <row r="125" spans="1:10" ht="15" x14ac:dyDescent="0.2">
      <c r="A125" s="1"/>
      <c r="B125" s="25" t="s">
        <v>413</v>
      </c>
      <c r="C125" s="1"/>
      <c r="D125" s="1"/>
      <c r="E125" s="10"/>
      <c r="F125" s="10"/>
      <c r="G125" s="10"/>
      <c r="H125" s="1"/>
      <c r="I125" s="30"/>
      <c r="J125" s="30"/>
    </row>
    <row r="126" spans="1:10" ht="15" x14ac:dyDescent="0.2">
      <c r="A126" s="1"/>
      <c r="B126" s="1"/>
      <c r="C126" s="1" t="s">
        <v>96</v>
      </c>
      <c r="D126" s="61"/>
      <c r="E126" s="62">
        <v>0</v>
      </c>
      <c r="F126" s="62">
        <v>-500</v>
      </c>
      <c r="G126" s="10"/>
      <c r="H126" s="1"/>
      <c r="I126" s="30"/>
      <c r="J126" s="30"/>
    </row>
    <row r="127" spans="1:10" ht="15" x14ac:dyDescent="0.2">
      <c r="A127" s="1"/>
      <c r="B127" s="1"/>
      <c r="C127" s="1" t="s">
        <v>414</v>
      </c>
      <c r="D127" s="61"/>
      <c r="E127" s="62">
        <v>0</v>
      </c>
      <c r="F127" s="62">
        <v>-2275</v>
      </c>
      <c r="G127" s="10"/>
      <c r="H127" s="1"/>
      <c r="I127" s="30"/>
      <c r="J127" s="30"/>
    </row>
    <row r="128" spans="1:10" ht="15" x14ac:dyDescent="0.2">
      <c r="A128" s="1"/>
      <c r="B128" s="1"/>
      <c r="C128" s="1" t="s">
        <v>415</v>
      </c>
      <c r="D128" s="61"/>
      <c r="E128" s="62">
        <v>2275</v>
      </c>
      <c r="F128" s="62">
        <v>0</v>
      </c>
      <c r="G128" s="10"/>
      <c r="H128" s="1"/>
      <c r="I128" s="30"/>
      <c r="J128" s="30"/>
    </row>
    <row r="129" spans="1:10" ht="15" x14ac:dyDescent="0.2">
      <c r="A129" s="1"/>
      <c r="B129" s="1"/>
      <c r="C129" s="1"/>
      <c r="D129" s="1"/>
      <c r="E129" s="10"/>
      <c r="F129" s="10"/>
      <c r="G129" s="10"/>
      <c r="H129" s="1"/>
      <c r="I129" s="30"/>
      <c r="J129" s="30"/>
    </row>
    <row r="130" spans="1:10" ht="15" x14ac:dyDescent="0.2">
      <c r="A130" s="1"/>
      <c r="B130" s="1"/>
      <c r="C130" s="25" t="s">
        <v>80</v>
      </c>
      <c r="D130" s="1"/>
      <c r="E130" s="10">
        <f t="shared" ref="E130:F130" si="14">SUM(E126)</f>
        <v>0</v>
      </c>
      <c r="F130" s="10">
        <f t="shared" si="14"/>
        <v>-500</v>
      </c>
      <c r="G130" s="10">
        <f>E130+F130</f>
        <v>-500</v>
      </c>
      <c r="H130" s="1"/>
      <c r="I130" s="30"/>
      <c r="J130" s="30"/>
    </row>
    <row r="131" spans="1:10" ht="15" x14ac:dyDescent="0.2">
      <c r="A131" s="1"/>
      <c r="B131" s="1"/>
      <c r="C131" s="25"/>
      <c r="D131" s="1"/>
      <c r="E131" s="25"/>
      <c r="F131" s="25"/>
      <c r="G131" s="25"/>
      <c r="H131" s="1"/>
      <c r="I131" s="30"/>
      <c r="J131" s="30"/>
    </row>
    <row r="132" spans="1:10" ht="15" x14ac:dyDescent="0.2">
      <c r="A132" s="1"/>
      <c r="B132" s="25" t="s">
        <v>416</v>
      </c>
      <c r="C132" s="1"/>
      <c r="D132" s="1"/>
      <c r="E132" s="34"/>
      <c r="F132" s="34"/>
      <c r="G132" s="10"/>
      <c r="H132" s="1"/>
      <c r="I132" s="30"/>
      <c r="J132" s="30"/>
    </row>
    <row r="133" spans="1:10" ht="15" x14ac:dyDescent="0.2">
      <c r="A133" s="1"/>
      <c r="B133" s="1"/>
      <c r="C133" s="1" t="s">
        <v>417</v>
      </c>
      <c r="D133" s="61"/>
      <c r="E133" s="62">
        <v>70000</v>
      </c>
      <c r="F133" s="62">
        <v>0</v>
      </c>
      <c r="G133" s="10"/>
      <c r="H133" s="1"/>
      <c r="I133" s="30"/>
      <c r="J133" s="30"/>
    </row>
    <row r="134" spans="1:10" ht="15" x14ac:dyDescent="0.2">
      <c r="A134" s="1"/>
      <c r="B134" s="1"/>
      <c r="C134" s="1" t="s">
        <v>418</v>
      </c>
      <c r="D134" s="61"/>
      <c r="E134" s="62">
        <v>0</v>
      </c>
      <c r="F134" s="62">
        <v>-9500</v>
      </c>
      <c r="G134" s="10"/>
      <c r="H134" s="1"/>
      <c r="I134" s="30"/>
      <c r="J134" s="30"/>
    </row>
    <row r="135" spans="1:10" ht="15" x14ac:dyDescent="0.2">
      <c r="A135" s="1"/>
      <c r="B135" s="1"/>
      <c r="C135" s="1" t="s">
        <v>419</v>
      </c>
      <c r="D135" s="61"/>
      <c r="E135" s="62">
        <v>0</v>
      </c>
      <c r="F135" s="62">
        <v>-30000</v>
      </c>
      <c r="G135" s="10"/>
      <c r="H135" s="1"/>
      <c r="I135" s="30"/>
      <c r="J135" s="30"/>
    </row>
    <row r="136" spans="1:10" ht="15" x14ac:dyDescent="0.2">
      <c r="A136" s="1"/>
      <c r="B136" s="1"/>
      <c r="C136" s="1" t="s">
        <v>96</v>
      </c>
      <c r="D136" s="61"/>
      <c r="E136" s="62">
        <v>0</v>
      </c>
      <c r="F136" s="62">
        <v>-13000</v>
      </c>
      <c r="G136" s="10"/>
      <c r="H136" s="1"/>
      <c r="I136" s="30"/>
      <c r="J136" s="30"/>
    </row>
    <row r="137" spans="1:10" ht="15" x14ac:dyDescent="0.2">
      <c r="A137" s="1"/>
      <c r="B137" s="1"/>
      <c r="C137" s="1" t="s">
        <v>97</v>
      </c>
      <c r="D137" s="61"/>
      <c r="E137" s="62">
        <v>0</v>
      </c>
      <c r="F137" s="62">
        <f>-2800-1261</f>
        <v>-4061</v>
      </c>
      <c r="G137" s="10"/>
      <c r="H137" s="1"/>
      <c r="I137" s="30"/>
      <c r="J137" s="30"/>
    </row>
    <row r="138" spans="1:10" ht="15" x14ac:dyDescent="0.2">
      <c r="A138" s="1"/>
      <c r="B138" s="1"/>
      <c r="C138" s="1" t="s">
        <v>242</v>
      </c>
      <c r="D138" s="61"/>
      <c r="E138" s="62">
        <v>0</v>
      </c>
      <c r="F138" s="62">
        <v>-79500</v>
      </c>
      <c r="G138" s="10"/>
      <c r="H138" s="1"/>
      <c r="I138" s="30"/>
      <c r="J138" s="30"/>
    </row>
    <row r="139" spans="1:10" ht="15" x14ac:dyDescent="0.2">
      <c r="A139" s="1"/>
      <c r="B139" s="1"/>
      <c r="C139" s="1" t="s">
        <v>302</v>
      </c>
      <c r="D139" s="61"/>
      <c r="E139" s="62">
        <v>0</v>
      </c>
      <c r="F139" s="62">
        <v>-55000</v>
      </c>
      <c r="G139" s="10"/>
      <c r="H139" s="1"/>
      <c r="I139" s="30"/>
      <c r="J139" s="30"/>
    </row>
    <row r="140" spans="1:10" ht="15" x14ac:dyDescent="0.2">
      <c r="A140" s="1"/>
      <c r="B140" s="1"/>
      <c r="C140" s="1" t="s">
        <v>98</v>
      </c>
      <c r="D140" s="61"/>
      <c r="E140" s="62">
        <v>0</v>
      </c>
      <c r="F140" s="62">
        <v>-5500</v>
      </c>
      <c r="G140" s="10"/>
      <c r="H140" s="1"/>
      <c r="I140" s="30"/>
      <c r="J140" s="30"/>
    </row>
    <row r="141" spans="1:10" ht="15" x14ac:dyDescent="0.2">
      <c r="A141" s="1"/>
      <c r="B141" s="1"/>
      <c r="C141" s="1" t="s">
        <v>253</v>
      </c>
      <c r="D141" s="61"/>
      <c r="E141" s="62">
        <v>0</v>
      </c>
      <c r="F141" s="62">
        <v>-1000</v>
      </c>
      <c r="G141" s="10"/>
      <c r="H141" s="1"/>
      <c r="I141" s="30"/>
      <c r="J141" s="30"/>
    </row>
    <row r="142" spans="1:10" ht="15" x14ac:dyDescent="0.2">
      <c r="A142" s="1"/>
      <c r="B142" s="1"/>
      <c r="C142" s="1" t="s">
        <v>420</v>
      </c>
      <c r="D142" s="61"/>
      <c r="E142" s="62">
        <v>0</v>
      </c>
      <c r="F142" s="62">
        <v>-500</v>
      </c>
      <c r="G142" s="10"/>
      <c r="H142" s="1"/>
      <c r="I142" s="30"/>
      <c r="J142" s="30"/>
    </row>
    <row r="143" spans="1:10" ht="15" x14ac:dyDescent="0.2">
      <c r="A143" s="1"/>
      <c r="B143" s="1"/>
      <c r="C143" s="1" t="s">
        <v>212</v>
      </c>
      <c r="D143" s="61"/>
      <c r="E143" s="62">
        <v>0</v>
      </c>
      <c r="F143" s="62">
        <v>-17000</v>
      </c>
      <c r="G143" s="10"/>
      <c r="H143" s="1"/>
      <c r="I143" s="30"/>
      <c r="J143" s="30"/>
    </row>
    <row r="144" spans="1:10" ht="15" x14ac:dyDescent="0.2">
      <c r="A144" s="1"/>
      <c r="B144" s="1"/>
      <c r="C144" s="1" t="s">
        <v>151</v>
      </c>
      <c r="D144" s="61"/>
      <c r="E144" s="62">
        <v>0</v>
      </c>
      <c r="F144" s="62">
        <v>-11000</v>
      </c>
      <c r="G144" s="10"/>
      <c r="H144" s="1"/>
      <c r="I144" s="30"/>
      <c r="J144" s="30"/>
    </row>
    <row r="145" spans="1:10" ht="15" x14ac:dyDescent="0.2">
      <c r="A145" s="1"/>
      <c r="B145" s="1"/>
      <c r="C145" s="1" t="s">
        <v>421</v>
      </c>
      <c r="D145" s="61"/>
      <c r="E145" s="62">
        <v>0</v>
      </c>
      <c r="F145" s="62">
        <v>-550</v>
      </c>
      <c r="G145" s="10"/>
      <c r="H145" s="1"/>
      <c r="I145" s="30"/>
      <c r="J145" s="30"/>
    </row>
    <row r="146" spans="1:10" ht="15" x14ac:dyDescent="0.2">
      <c r="A146" s="1"/>
      <c r="B146" s="1"/>
      <c r="C146" s="1" t="s">
        <v>422</v>
      </c>
      <c r="D146" s="61"/>
      <c r="E146" s="62">
        <v>0</v>
      </c>
      <c r="F146" s="62">
        <v>-700</v>
      </c>
      <c r="G146" s="10"/>
      <c r="H146" s="1"/>
      <c r="I146" s="30"/>
      <c r="J146" s="30"/>
    </row>
    <row r="147" spans="1:10" ht="15" x14ac:dyDescent="0.2">
      <c r="A147" s="1"/>
      <c r="B147" s="1"/>
      <c r="C147" s="1" t="s">
        <v>423</v>
      </c>
      <c r="D147" s="61"/>
      <c r="E147" s="62">
        <v>0</v>
      </c>
      <c r="F147" s="62">
        <v>-500</v>
      </c>
      <c r="G147" s="10"/>
      <c r="H147" s="1"/>
      <c r="I147" s="30"/>
      <c r="J147" s="30"/>
    </row>
    <row r="148" spans="1:10" ht="15" x14ac:dyDescent="0.2">
      <c r="A148" s="1"/>
      <c r="B148" s="1"/>
      <c r="C148" s="1" t="s">
        <v>424</v>
      </c>
      <c r="D148" s="61"/>
      <c r="E148" s="62">
        <v>0</v>
      </c>
      <c r="F148" s="62">
        <v>-500</v>
      </c>
      <c r="G148" s="10"/>
      <c r="H148" s="1"/>
      <c r="I148" s="30"/>
      <c r="J148" s="30"/>
    </row>
    <row r="149" spans="1:10" ht="15" x14ac:dyDescent="0.2">
      <c r="A149" s="1"/>
      <c r="B149" s="1"/>
      <c r="C149" s="1" t="s">
        <v>425</v>
      </c>
      <c r="D149" s="61"/>
      <c r="E149" s="62">
        <v>0</v>
      </c>
      <c r="F149" s="62">
        <v>-15000</v>
      </c>
      <c r="G149" s="10"/>
      <c r="H149" s="1"/>
      <c r="I149" s="30"/>
      <c r="J149" s="30"/>
    </row>
    <row r="150" spans="1:10" ht="15" x14ac:dyDescent="0.2">
      <c r="A150" s="1"/>
      <c r="B150" s="1"/>
      <c r="C150" s="1"/>
      <c r="D150" s="61"/>
      <c r="E150" s="62"/>
      <c r="F150" s="62"/>
      <c r="G150" s="10"/>
      <c r="H150" s="1"/>
      <c r="I150" s="30"/>
      <c r="J150" s="30"/>
    </row>
    <row r="151" spans="1:10" ht="15" x14ac:dyDescent="0.2">
      <c r="A151" s="1"/>
      <c r="B151" s="1"/>
      <c r="C151" s="25" t="s">
        <v>80</v>
      </c>
      <c r="D151" s="1"/>
      <c r="E151" s="10">
        <f t="shared" ref="E151:F151" si="15">SUM(E133:E149)</f>
        <v>70000</v>
      </c>
      <c r="F151" s="10">
        <f t="shared" si="15"/>
        <v>-243311</v>
      </c>
      <c r="G151" s="10">
        <f>E151+F151</f>
        <v>-173311</v>
      </c>
      <c r="H151" s="1"/>
      <c r="I151" s="30"/>
      <c r="J151" s="30"/>
    </row>
    <row r="152" spans="1:10" ht="15" x14ac:dyDescent="0.2">
      <c r="A152" s="1"/>
      <c r="B152" s="1"/>
      <c r="C152" s="25"/>
      <c r="D152" s="1"/>
      <c r="E152" s="25"/>
      <c r="F152" s="25"/>
      <c r="G152" s="25"/>
      <c r="H152" s="1"/>
      <c r="I152" s="30"/>
      <c r="J152" s="30"/>
    </row>
    <row r="153" spans="1:10" ht="15" x14ac:dyDescent="0.2">
      <c r="A153" s="1"/>
      <c r="B153" s="25" t="s">
        <v>426</v>
      </c>
      <c r="C153" s="1"/>
      <c r="D153" s="1"/>
      <c r="E153" s="34"/>
      <c r="F153" s="34"/>
      <c r="G153" s="10"/>
      <c r="H153" s="1"/>
      <c r="I153" s="30"/>
      <c r="J153" s="30"/>
    </row>
    <row r="154" spans="1:10" ht="15" x14ac:dyDescent="0.2">
      <c r="A154" s="1"/>
      <c r="B154" s="1"/>
      <c r="C154" s="1" t="s">
        <v>88</v>
      </c>
      <c r="D154" s="61"/>
      <c r="E154" s="62">
        <v>6000</v>
      </c>
      <c r="F154" s="62">
        <v>0</v>
      </c>
      <c r="G154" s="10"/>
      <c r="H154" s="1"/>
      <c r="I154" s="30"/>
      <c r="J154" s="30"/>
    </row>
    <row r="155" spans="1:10" ht="15" x14ac:dyDescent="0.2">
      <c r="A155" s="1"/>
      <c r="B155" s="1"/>
      <c r="C155" s="1" t="s">
        <v>94</v>
      </c>
      <c r="D155" s="61"/>
      <c r="E155" s="62">
        <v>0</v>
      </c>
      <c r="F155" s="62">
        <v>-4300</v>
      </c>
      <c r="G155" s="10"/>
      <c r="H155" s="1"/>
      <c r="I155" s="30"/>
      <c r="J155" s="30"/>
    </row>
    <row r="156" spans="1:10" ht="15" x14ac:dyDescent="0.2">
      <c r="A156" s="1"/>
      <c r="B156" s="1"/>
      <c r="C156" s="1" t="s">
        <v>96</v>
      </c>
      <c r="D156" s="61"/>
      <c r="E156" s="62">
        <v>0</v>
      </c>
      <c r="F156" s="62">
        <v>-1500</v>
      </c>
      <c r="G156" s="10"/>
      <c r="H156" s="1"/>
      <c r="I156" s="30"/>
      <c r="J156" s="30"/>
    </row>
    <row r="157" spans="1:10" ht="15" x14ac:dyDescent="0.2">
      <c r="A157" s="1"/>
      <c r="B157" s="1"/>
      <c r="C157" s="1" t="s">
        <v>399</v>
      </c>
      <c r="D157" s="61"/>
      <c r="E157" s="62">
        <v>0</v>
      </c>
      <c r="F157" s="62">
        <v>-700</v>
      </c>
      <c r="G157" s="10"/>
      <c r="H157" s="1"/>
      <c r="I157" s="30"/>
      <c r="J157" s="30"/>
    </row>
    <row r="158" spans="1:10" ht="15" x14ac:dyDescent="0.2">
      <c r="A158" s="1"/>
      <c r="B158" s="1"/>
      <c r="C158" s="1" t="s">
        <v>98</v>
      </c>
      <c r="D158" s="61"/>
      <c r="E158" s="62">
        <v>0</v>
      </c>
      <c r="F158" s="62">
        <v>-500</v>
      </c>
      <c r="G158" s="10"/>
      <c r="H158" s="1"/>
      <c r="I158" s="30"/>
      <c r="J158" s="30"/>
    </row>
    <row r="159" spans="1:10" ht="15" x14ac:dyDescent="0.2">
      <c r="A159" s="1"/>
      <c r="B159" s="1"/>
      <c r="C159" s="1" t="s">
        <v>291</v>
      </c>
      <c r="D159" s="61"/>
      <c r="E159" s="62">
        <v>0</v>
      </c>
      <c r="F159" s="62">
        <v>-900</v>
      </c>
      <c r="G159" s="10"/>
      <c r="H159" s="1"/>
      <c r="I159" s="30"/>
      <c r="J159" s="30"/>
    </row>
    <row r="160" spans="1:10" ht="15" x14ac:dyDescent="0.2">
      <c r="A160" s="1"/>
      <c r="B160" s="1"/>
      <c r="C160" s="1" t="s">
        <v>151</v>
      </c>
      <c r="D160" s="61"/>
      <c r="E160" s="62">
        <v>0</v>
      </c>
      <c r="F160" s="62">
        <v>-4000</v>
      </c>
      <c r="G160" s="10"/>
      <c r="H160" s="1"/>
      <c r="I160" s="30"/>
      <c r="J160" s="30"/>
    </row>
    <row r="161" spans="1:10" ht="15" x14ac:dyDescent="0.2">
      <c r="A161" s="1"/>
      <c r="B161" s="1"/>
      <c r="C161" s="25"/>
      <c r="D161" s="1"/>
      <c r="E161" s="25"/>
      <c r="F161" s="25"/>
      <c r="G161" s="25"/>
      <c r="H161" s="1"/>
      <c r="I161" s="30"/>
      <c r="J161" s="30"/>
    </row>
    <row r="162" spans="1:10" ht="15" x14ac:dyDescent="0.2">
      <c r="A162" s="1"/>
      <c r="B162" s="1"/>
      <c r="C162" s="25" t="s">
        <v>80</v>
      </c>
      <c r="D162" s="1"/>
      <c r="E162" s="10">
        <f t="shared" ref="E162:F162" si="16">SUM(E154:E160)</f>
        <v>6000</v>
      </c>
      <c r="F162" s="10">
        <f t="shared" si="16"/>
        <v>-11900</v>
      </c>
      <c r="G162" s="10">
        <f>E162+F162</f>
        <v>-5900</v>
      </c>
      <c r="H162" s="1"/>
      <c r="I162" s="30"/>
      <c r="J162" s="30"/>
    </row>
    <row r="163" spans="1:10" ht="15" x14ac:dyDescent="0.2">
      <c r="A163" s="1"/>
      <c r="B163" s="1"/>
      <c r="C163" s="25"/>
      <c r="D163" s="1"/>
      <c r="E163" s="25"/>
      <c r="F163" s="25"/>
      <c r="G163" s="25"/>
      <c r="H163" s="1"/>
      <c r="I163" s="30"/>
      <c r="J163" s="30"/>
    </row>
    <row r="164" spans="1:10" ht="15" x14ac:dyDescent="0.2">
      <c r="A164" s="1"/>
      <c r="B164" s="25" t="s">
        <v>427</v>
      </c>
      <c r="C164" s="1"/>
      <c r="D164" s="1"/>
      <c r="E164" s="34"/>
      <c r="F164" s="34"/>
      <c r="G164" s="10"/>
      <c r="H164" s="1"/>
      <c r="I164" s="30"/>
      <c r="J164" s="30"/>
    </row>
    <row r="165" spans="1:10" ht="15" x14ac:dyDescent="0.2">
      <c r="A165" s="1"/>
      <c r="B165" s="1"/>
      <c r="C165" s="1" t="s">
        <v>428</v>
      </c>
      <c r="D165" s="61"/>
      <c r="E165" s="62">
        <v>0</v>
      </c>
      <c r="F165" s="62">
        <v>-1000</v>
      </c>
      <c r="G165" s="10"/>
      <c r="H165" s="1"/>
      <c r="I165" s="30"/>
      <c r="J165" s="30"/>
    </row>
    <row r="166" spans="1:10" ht="15" x14ac:dyDescent="0.2">
      <c r="A166" s="1"/>
      <c r="B166" s="1"/>
      <c r="C166" s="1" t="s">
        <v>429</v>
      </c>
      <c r="D166" s="61"/>
      <c r="E166" s="62">
        <v>0</v>
      </c>
      <c r="F166" s="62">
        <v>-2454</v>
      </c>
      <c r="G166" s="10"/>
      <c r="H166" s="1"/>
      <c r="I166" s="30"/>
      <c r="J166" s="30"/>
    </row>
    <row r="167" spans="1:10" ht="15" x14ac:dyDescent="0.2">
      <c r="A167" s="1"/>
      <c r="B167" s="1"/>
      <c r="C167" s="1" t="s">
        <v>255</v>
      </c>
      <c r="D167" s="61"/>
      <c r="E167" s="62">
        <v>0</v>
      </c>
      <c r="F167" s="62">
        <v>-1300</v>
      </c>
      <c r="G167" s="10"/>
      <c r="H167" s="1"/>
      <c r="I167" s="30"/>
      <c r="J167" s="30"/>
    </row>
    <row r="168" spans="1:10" ht="15" x14ac:dyDescent="0.2">
      <c r="A168" s="1"/>
      <c r="B168" s="1"/>
      <c r="C168" s="1" t="s">
        <v>430</v>
      </c>
      <c r="D168" s="61"/>
      <c r="E168" s="62">
        <v>0</v>
      </c>
      <c r="F168" s="62">
        <v>-1000</v>
      </c>
      <c r="G168" s="10"/>
      <c r="H168" s="1"/>
      <c r="I168" s="30"/>
      <c r="J168" s="30"/>
    </row>
    <row r="169" spans="1:10" ht="15" x14ac:dyDescent="0.2">
      <c r="A169" s="1"/>
      <c r="B169" s="1"/>
      <c r="C169" s="1" t="s">
        <v>97</v>
      </c>
      <c r="D169" s="61"/>
      <c r="E169" s="62">
        <v>0</v>
      </c>
      <c r="F169" s="62">
        <f>-9000+1261</f>
        <v>-7739</v>
      </c>
      <c r="G169" s="10"/>
      <c r="H169" s="1"/>
      <c r="I169" s="30"/>
      <c r="J169" s="30"/>
    </row>
    <row r="170" spans="1:10" ht="15" x14ac:dyDescent="0.2">
      <c r="A170" s="1"/>
      <c r="B170" s="1"/>
      <c r="C170" s="1" t="s">
        <v>431</v>
      </c>
      <c r="D170" s="61"/>
      <c r="E170" s="62">
        <v>0</v>
      </c>
      <c r="F170" s="62">
        <v>-14349</v>
      </c>
      <c r="G170" s="10"/>
      <c r="H170" s="1"/>
      <c r="I170" s="30"/>
      <c r="J170" s="30"/>
    </row>
    <row r="171" spans="1:10" ht="15" x14ac:dyDescent="0.2">
      <c r="A171" s="1"/>
      <c r="B171" s="1"/>
      <c r="C171" s="1" t="s">
        <v>432</v>
      </c>
      <c r="D171" s="61"/>
      <c r="E171" s="62">
        <v>0</v>
      </c>
      <c r="F171" s="62">
        <v>-13000</v>
      </c>
      <c r="G171" s="10"/>
      <c r="H171" s="1"/>
      <c r="I171" s="30"/>
      <c r="J171" s="30"/>
    </row>
    <row r="172" spans="1:10" ht="15" x14ac:dyDescent="0.2">
      <c r="A172" s="1"/>
      <c r="B172" s="1"/>
      <c r="C172" s="1" t="s">
        <v>433</v>
      </c>
      <c r="D172" s="61"/>
      <c r="E172" s="62">
        <v>13000</v>
      </c>
      <c r="F172" s="62">
        <v>0</v>
      </c>
      <c r="G172" s="10"/>
      <c r="H172" s="1"/>
      <c r="I172" s="30"/>
      <c r="J172" s="30"/>
    </row>
    <row r="173" spans="1:10" ht="15" x14ac:dyDescent="0.2">
      <c r="A173" s="1"/>
      <c r="B173" s="1"/>
      <c r="C173" s="1" t="s">
        <v>98</v>
      </c>
      <c r="D173" s="61"/>
      <c r="E173" s="62">
        <v>0</v>
      </c>
      <c r="F173" s="62">
        <v>-800</v>
      </c>
      <c r="G173" s="10"/>
      <c r="H173" s="1"/>
      <c r="I173" s="30"/>
      <c r="J173" s="30"/>
    </row>
    <row r="174" spans="1:10" ht="15" x14ac:dyDescent="0.2">
      <c r="A174" s="1"/>
      <c r="B174" s="1"/>
      <c r="C174" s="1" t="s">
        <v>434</v>
      </c>
      <c r="D174" s="61"/>
      <c r="E174" s="62">
        <v>30000</v>
      </c>
      <c r="F174" s="62">
        <v>0</v>
      </c>
      <c r="G174" s="10"/>
      <c r="H174" s="1"/>
      <c r="I174" s="30"/>
      <c r="J174" s="30"/>
    </row>
    <row r="175" spans="1:10" ht="15" x14ac:dyDescent="0.2">
      <c r="A175" s="1"/>
      <c r="B175" s="1"/>
      <c r="C175" s="1" t="s">
        <v>435</v>
      </c>
      <c r="D175" s="61"/>
      <c r="E175" s="62">
        <v>50000</v>
      </c>
      <c r="F175" s="62">
        <v>0</v>
      </c>
      <c r="G175" s="10"/>
      <c r="H175" s="1"/>
      <c r="I175" s="30"/>
      <c r="J175" s="30"/>
    </row>
    <row r="176" spans="1:10" ht="15" x14ac:dyDescent="0.2">
      <c r="A176" s="1"/>
      <c r="B176" s="1"/>
      <c r="C176" s="1" t="s">
        <v>436</v>
      </c>
      <c r="D176" s="61"/>
      <c r="E176" s="62">
        <v>0</v>
      </c>
      <c r="F176" s="62">
        <v>-80000</v>
      </c>
      <c r="G176" s="10"/>
      <c r="H176" s="1"/>
      <c r="I176" s="30"/>
      <c r="J176" s="30"/>
    </row>
    <row r="177" spans="1:10" ht="15" x14ac:dyDescent="0.2">
      <c r="A177" s="1"/>
      <c r="B177" s="1"/>
      <c r="C177" s="1" t="s">
        <v>437</v>
      </c>
      <c r="D177" s="61"/>
      <c r="E177" s="62">
        <v>0</v>
      </c>
      <c r="F177" s="62">
        <v>-1000</v>
      </c>
      <c r="G177" s="10"/>
      <c r="H177" s="1"/>
      <c r="I177" s="30"/>
      <c r="J177" s="30"/>
    </row>
    <row r="178" spans="1:10" ht="15" x14ac:dyDescent="0.2">
      <c r="A178" s="1"/>
      <c r="B178" s="1"/>
      <c r="C178" s="1" t="s">
        <v>131</v>
      </c>
      <c r="D178" s="61"/>
      <c r="E178" s="62">
        <v>0</v>
      </c>
      <c r="F178" s="62">
        <v>-4000</v>
      </c>
      <c r="G178" s="10"/>
      <c r="H178" s="1"/>
      <c r="I178" s="30"/>
      <c r="J178" s="30"/>
    </row>
    <row r="179" spans="1:10" ht="16.5" customHeight="1" x14ac:dyDescent="0.2">
      <c r="A179" s="1"/>
      <c r="B179" s="1"/>
      <c r="C179" s="1"/>
      <c r="D179" s="61"/>
      <c r="E179" s="62"/>
      <c r="F179" s="62"/>
      <c r="G179" s="10"/>
      <c r="H179" s="1"/>
      <c r="I179" s="30"/>
      <c r="J179" s="30"/>
    </row>
    <row r="180" spans="1:10" ht="15" x14ac:dyDescent="0.2">
      <c r="A180" s="1"/>
      <c r="B180" s="1"/>
      <c r="C180" s="25" t="s">
        <v>80</v>
      </c>
      <c r="D180" s="1"/>
      <c r="E180" s="10">
        <f t="shared" ref="E180:F180" si="17">SUM(E165:E178)</f>
        <v>93000</v>
      </c>
      <c r="F180" s="10">
        <f t="shared" si="17"/>
        <v>-126642</v>
      </c>
      <c r="G180" s="10">
        <f>E180+F180</f>
        <v>-33642</v>
      </c>
      <c r="H180" s="1"/>
      <c r="I180" s="30"/>
      <c r="J180" s="30"/>
    </row>
    <row r="181" spans="1:10" ht="15" x14ac:dyDescent="0.2">
      <c r="A181" s="1"/>
      <c r="B181" s="1"/>
      <c r="C181" s="25"/>
      <c r="D181" s="1"/>
      <c r="E181" s="25"/>
      <c r="F181" s="25"/>
      <c r="G181" s="25"/>
      <c r="H181" s="1"/>
      <c r="I181" s="30"/>
      <c r="J181" s="30"/>
    </row>
    <row r="182" spans="1:10" ht="15" x14ac:dyDescent="0.2">
      <c r="A182" s="1"/>
      <c r="B182" s="25" t="s">
        <v>438</v>
      </c>
      <c r="C182" s="1"/>
      <c r="D182" s="1"/>
      <c r="E182" s="34"/>
      <c r="F182" s="34"/>
      <c r="G182" s="10"/>
      <c r="H182" s="1"/>
      <c r="I182" s="30"/>
      <c r="J182" s="30"/>
    </row>
    <row r="183" spans="1:10" ht="15" x14ac:dyDescent="0.2">
      <c r="A183" s="1"/>
      <c r="B183" s="1"/>
      <c r="C183" s="1" t="s">
        <v>94</v>
      </c>
      <c r="D183" s="61"/>
      <c r="E183" s="62">
        <v>0</v>
      </c>
      <c r="F183" s="62">
        <v>-15000</v>
      </c>
      <c r="G183" s="10"/>
      <c r="H183" s="1"/>
      <c r="I183" s="30"/>
      <c r="J183" s="30"/>
    </row>
    <row r="184" spans="1:10" ht="15" x14ac:dyDescent="0.2">
      <c r="A184" s="1"/>
      <c r="B184" s="1"/>
      <c r="C184" s="1" t="s">
        <v>439</v>
      </c>
      <c r="D184" s="61"/>
      <c r="E184" s="62">
        <v>0</v>
      </c>
      <c r="F184" s="62">
        <v>-1500</v>
      </c>
      <c r="G184" s="10"/>
      <c r="H184" s="1"/>
      <c r="I184" s="30"/>
      <c r="J184" s="30"/>
    </row>
    <row r="185" spans="1:10" ht="15" x14ac:dyDescent="0.2">
      <c r="A185" s="1"/>
      <c r="B185" s="1"/>
      <c r="C185" s="25"/>
      <c r="D185" s="1"/>
      <c r="E185" s="25"/>
      <c r="F185" s="25"/>
      <c r="G185" s="25"/>
      <c r="H185" s="1"/>
      <c r="I185" s="30"/>
      <c r="J185" s="30"/>
    </row>
    <row r="186" spans="1:10" ht="15" x14ac:dyDescent="0.2">
      <c r="A186" s="1"/>
      <c r="B186" s="1"/>
      <c r="C186" s="25" t="s">
        <v>80</v>
      </c>
      <c r="D186" s="1"/>
      <c r="E186" s="10">
        <f t="shared" ref="E186:F186" si="18">SUM(E183:E184)</f>
        <v>0</v>
      </c>
      <c r="F186" s="10">
        <f t="shared" si="18"/>
        <v>-16500</v>
      </c>
      <c r="G186" s="10">
        <f>E186+F186</f>
        <v>-16500</v>
      </c>
      <c r="H186" s="1"/>
      <c r="I186" s="30"/>
      <c r="J186" s="30"/>
    </row>
    <row r="187" spans="1:10" ht="15" x14ac:dyDescent="0.2">
      <c r="A187" s="1"/>
      <c r="B187" s="1"/>
      <c r="C187" s="25"/>
      <c r="D187" s="1"/>
      <c r="E187" s="25"/>
      <c r="F187" s="25"/>
      <c r="G187" s="25"/>
      <c r="H187" s="1"/>
      <c r="I187" s="30"/>
      <c r="J187" s="30"/>
    </row>
    <row r="188" spans="1:10" ht="15" x14ac:dyDescent="0.2">
      <c r="A188" s="1"/>
      <c r="B188" s="25" t="s">
        <v>440</v>
      </c>
      <c r="C188" s="1"/>
      <c r="D188" s="1"/>
      <c r="E188" s="34"/>
      <c r="F188" s="34"/>
      <c r="G188" s="10"/>
      <c r="H188" s="1"/>
      <c r="I188" s="30"/>
      <c r="J188" s="30"/>
    </row>
    <row r="189" spans="1:10" ht="15" x14ac:dyDescent="0.2">
      <c r="A189" s="1"/>
      <c r="B189" s="1"/>
      <c r="C189" s="1" t="s">
        <v>94</v>
      </c>
      <c r="D189" s="61"/>
      <c r="E189" s="62">
        <v>0</v>
      </c>
      <c r="F189" s="62">
        <v>-13000</v>
      </c>
      <c r="G189" s="10"/>
      <c r="H189" s="1"/>
      <c r="I189" s="30"/>
      <c r="J189" s="30"/>
    </row>
    <row r="190" spans="1:10" ht="15" x14ac:dyDescent="0.2">
      <c r="A190" s="1"/>
      <c r="B190" s="1"/>
      <c r="C190" s="25"/>
      <c r="D190" s="1"/>
      <c r="E190" s="25"/>
      <c r="F190" s="25"/>
      <c r="G190" s="25"/>
      <c r="H190" s="1"/>
      <c r="I190" s="30"/>
      <c r="J190" s="30"/>
    </row>
    <row r="191" spans="1:10" ht="15" x14ac:dyDescent="0.2">
      <c r="A191" s="1"/>
      <c r="B191" s="1"/>
      <c r="C191" s="25" t="s">
        <v>80</v>
      </c>
      <c r="D191" s="1"/>
      <c r="E191" s="10">
        <f t="shared" ref="E191:F191" si="19">SUM(E189)</f>
        <v>0</v>
      </c>
      <c r="F191" s="10">
        <f t="shared" si="19"/>
        <v>-13000</v>
      </c>
      <c r="G191" s="10">
        <f>E191+F191</f>
        <v>-13000</v>
      </c>
      <c r="H191" s="1"/>
      <c r="I191" s="30"/>
      <c r="J191" s="30"/>
    </row>
    <row r="192" spans="1:10" ht="15" x14ac:dyDescent="0.2">
      <c r="A192" s="1"/>
      <c r="B192" s="1"/>
      <c r="C192" s="25"/>
      <c r="D192" s="1"/>
      <c r="E192" s="25"/>
      <c r="F192" s="25"/>
      <c r="G192" s="25"/>
      <c r="H192" s="1"/>
      <c r="I192" s="30"/>
      <c r="J192" s="30"/>
    </row>
    <row r="193" spans="1:10" ht="15" x14ac:dyDescent="0.2">
      <c r="A193" s="1"/>
      <c r="B193" s="25" t="s">
        <v>441</v>
      </c>
      <c r="C193" s="1"/>
      <c r="D193" s="1"/>
      <c r="E193" s="34"/>
      <c r="F193" s="34"/>
      <c r="G193" s="10"/>
      <c r="H193" s="1"/>
      <c r="I193" s="30"/>
      <c r="J193" s="30"/>
    </row>
    <row r="194" spans="1:10" ht="15" x14ac:dyDescent="0.2">
      <c r="A194" s="1"/>
      <c r="B194" s="1"/>
      <c r="C194" s="1" t="s">
        <v>88</v>
      </c>
      <c r="D194" s="61"/>
      <c r="E194" s="62">
        <v>14500</v>
      </c>
      <c r="F194" s="62">
        <v>0</v>
      </c>
      <c r="G194" s="10"/>
      <c r="H194" s="1"/>
      <c r="I194" s="30"/>
      <c r="J194" s="30"/>
    </row>
    <row r="195" spans="1:10" ht="15" x14ac:dyDescent="0.2">
      <c r="A195" s="1"/>
      <c r="B195" s="1"/>
      <c r="C195" s="1" t="s">
        <v>442</v>
      </c>
      <c r="D195" s="61"/>
      <c r="E195" s="62">
        <v>0</v>
      </c>
      <c r="F195" s="62">
        <v>-4600</v>
      </c>
      <c r="G195" s="10"/>
      <c r="H195" s="1"/>
      <c r="I195" s="30"/>
      <c r="J195" s="30"/>
    </row>
    <row r="196" spans="1:10" ht="15" x14ac:dyDescent="0.2">
      <c r="A196" s="1"/>
      <c r="B196" s="1"/>
      <c r="C196" s="1" t="s">
        <v>94</v>
      </c>
      <c r="D196" s="61"/>
      <c r="E196" s="62">
        <v>0</v>
      </c>
      <c r="F196" s="62">
        <v>-6600</v>
      </c>
      <c r="G196" s="10"/>
      <c r="H196" s="1"/>
      <c r="I196" s="30"/>
      <c r="J196" s="30"/>
    </row>
    <row r="197" spans="1:10" ht="15" x14ac:dyDescent="0.2">
      <c r="A197" s="1"/>
      <c r="B197" s="1"/>
      <c r="C197" s="1" t="s">
        <v>96</v>
      </c>
      <c r="D197" s="61"/>
      <c r="E197" s="62">
        <v>0</v>
      </c>
      <c r="F197" s="62">
        <v>-1000</v>
      </c>
      <c r="G197" s="10"/>
      <c r="H197" s="1"/>
      <c r="I197" s="30"/>
      <c r="J197" s="30"/>
    </row>
    <row r="198" spans="1:10" ht="15" x14ac:dyDescent="0.2">
      <c r="A198" s="1"/>
      <c r="B198" s="1"/>
      <c r="C198" s="1" t="s">
        <v>98</v>
      </c>
      <c r="D198" s="61"/>
      <c r="E198" s="62">
        <v>0</v>
      </c>
      <c r="F198" s="62">
        <v>-1100</v>
      </c>
      <c r="G198" s="10"/>
      <c r="H198" s="1"/>
      <c r="I198" s="30"/>
      <c r="J198" s="30"/>
    </row>
    <row r="199" spans="1:10" ht="15" x14ac:dyDescent="0.2">
      <c r="A199" s="1"/>
      <c r="B199" s="1"/>
      <c r="C199" s="1" t="s">
        <v>175</v>
      </c>
      <c r="D199" s="61"/>
      <c r="E199" s="62">
        <v>0</v>
      </c>
      <c r="F199" s="62">
        <v>-500</v>
      </c>
      <c r="G199" s="10"/>
      <c r="H199" s="1"/>
      <c r="I199" s="30"/>
      <c r="J199" s="30"/>
    </row>
    <row r="200" spans="1:10" ht="15" x14ac:dyDescent="0.2">
      <c r="A200" s="1"/>
      <c r="B200" s="1"/>
      <c r="C200" s="25"/>
      <c r="D200" s="1"/>
      <c r="E200" s="25"/>
      <c r="F200" s="25"/>
      <c r="G200" s="25"/>
      <c r="H200" s="1"/>
      <c r="I200" s="30"/>
      <c r="J200" s="30"/>
    </row>
    <row r="201" spans="1:10" ht="15" x14ac:dyDescent="0.2">
      <c r="A201" s="1"/>
      <c r="B201" s="1"/>
      <c r="C201" s="25" t="s">
        <v>80</v>
      </c>
      <c r="D201" s="1"/>
      <c r="E201" s="10">
        <f t="shared" ref="E201:F201" si="20">SUM(E194:E199)</f>
        <v>14500</v>
      </c>
      <c r="F201" s="10">
        <f t="shared" si="20"/>
        <v>-13800</v>
      </c>
      <c r="G201" s="10">
        <f>E201+F201</f>
        <v>700</v>
      </c>
      <c r="H201" s="1"/>
      <c r="I201" s="30"/>
      <c r="J201" s="30"/>
    </row>
    <row r="202" spans="1:10" ht="15" x14ac:dyDescent="0.2">
      <c r="A202" s="1"/>
      <c r="B202" s="1"/>
      <c r="C202" s="25"/>
      <c r="D202" s="1"/>
      <c r="E202" s="25"/>
      <c r="F202" s="25"/>
      <c r="G202" s="25"/>
      <c r="H202" s="1"/>
      <c r="I202" s="30"/>
      <c r="J202" s="30"/>
    </row>
    <row r="203" spans="1:10" ht="15" x14ac:dyDescent="0.2">
      <c r="A203" s="1"/>
      <c r="B203" s="25" t="s">
        <v>443</v>
      </c>
      <c r="C203" s="1"/>
      <c r="D203" s="1"/>
      <c r="E203" s="34"/>
      <c r="F203" s="34"/>
      <c r="G203" s="10"/>
      <c r="H203" s="1"/>
      <c r="I203" s="30"/>
      <c r="J203" s="30"/>
    </row>
    <row r="204" spans="1:10" ht="15" x14ac:dyDescent="0.2">
      <c r="A204" s="1"/>
      <c r="B204" s="1"/>
      <c r="C204" s="1" t="s">
        <v>444</v>
      </c>
      <c r="D204" s="61"/>
      <c r="E204" s="62">
        <v>0</v>
      </c>
      <c r="F204" s="62">
        <v>-2000</v>
      </c>
      <c r="G204" s="10"/>
      <c r="H204" s="1"/>
      <c r="I204" s="30"/>
      <c r="J204" s="30"/>
    </row>
    <row r="205" spans="1:10" ht="15" x14ac:dyDescent="0.2">
      <c r="A205" s="1"/>
      <c r="B205" s="1"/>
      <c r="C205" s="1" t="s">
        <v>445</v>
      </c>
      <c r="D205" s="61"/>
      <c r="E205" s="62">
        <v>2000</v>
      </c>
      <c r="F205" s="62">
        <v>0</v>
      </c>
      <c r="G205" s="10"/>
      <c r="H205" s="1"/>
      <c r="I205" s="30"/>
      <c r="J205" s="30"/>
    </row>
    <row r="206" spans="1:10" ht="15" x14ac:dyDescent="0.2">
      <c r="A206" s="1"/>
      <c r="B206" s="1"/>
      <c r="C206" s="1" t="s">
        <v>98</v>
      </c>
      <c r="D206" s="61"/>
      <c r="E206" s="62">
        <v>0</v>
      </c>
      <c r="F206" s="62">
        <v>-300</v>
      </c>
      <c r="G206" s="10"/>
      <c r="H206" s="1"/>
      <c r="I206" s="30"/>
      <c r="J206" s="30"/>
    </row>
    <row r="207" spans="1:10" ht="15" x14ac:dyDescent="0.2">
      <c r="A207" s="1"/>
      <c r="B207" s="1"/>
      <c r="C207" s="25"/>
      <c r="D207" s="1"/>
      <c r="E207" s="25"/>
      <c r="F207" s="25"/>
      <c r="G207" s="25"/>
      <c r="H207" s="1"/>
      <c r="I207" s="30"/>
      <c r="J207" s="30"/>
    </row>
    <row r="208" spans="1:10" ht="15" x14ac:dyDescent="0.2">
      <c r="A208" s="1"/>
      <c r="B208" s="1"/>
      <c r="C208" s="25" t="s">
        <v>80</v>
      </c>
      <c r="D208" s="1"/>
      <c r="E208" s="10">
        <f t="shared" ref="E208:F208" si="21">SUM(E204:E206)</f>
        <v>2000</v>
      </c>
      <c r="F208" s="10">
        <f t="shared" si="21"/>
        <v>-2300</v>
      </c>
      <c r="G208" s="10">
        <f>E208+F208</f>
        <v>-300</v>
      </c>
      <c r="H208" s="1"/>
      <c r="I208" s="30"/>
      <c r="J208" s="30"/>
    </row>
    <row r="209" spans="1:10" ht="15" x14ac:dyDescent="0.2">
      <c r="A209" s="1"/>
      <c r="B209" s="1"/>
      <c r="C209" s="25"/>
      <c r="D209" s="1"/>
      <c r="E209" s="25"/>
      <c r="F209" s="25"/>
      <c r="G209" s="25"/>
      <c r="H209" s="1"/>
      <c r="I209" s="30"/>
      <c r="J209" s="30"/>
    </row>
    <row r="210" spans="1:10" ht="15" x14ac:dyDescent="0.2">
      <c r="A210" s="1"/>
      <c r="B210" s="25" t="s">
        <v>446</v>
      </c>
      <c r="C210" s="1"/>
      <c r="D210" s="1"/>
      <c r="E210" s="34"/>
      <c r="F210" s="34"/>
      <c r="G210" s="10"/>
      <c r="H210" s="1"/>
      <c r="I210" s="30"/>
      <c r="J210" s="30"/>
    </row>
    <row r="211" spans="1:10" ht="15" x14ac:dyDescent="0.2">
      <c r="A211" s="1"/>
      <c r="B211" s="1"/>
      <c r="C211" s="1" t="s">
        <v>190</v>
      </c>
      <c r="D211" s="61"/>
      <c r="E211" s="62">
        <v>0</v>
      </c>
      <c r="F211" s="62">
        <v>-1500</v>
      </c>
      <c r="G211" s="10"/>
      <c r="H211" s="1"/>
      <c r="I211" s="30"/>
      <c r="J211" s="30"/>
    </row>
    <row r="212" spans="1:10" ht="15" x14ac:dyDescent="0.2">
      <c r="A212" s="1"/>
      <c r="B212" s="1"/>
      <c r="C212" s="1" t="s">
        <v>447</v>
      </c>
      <c r="D212" s="61"/>
      <c r="E212" s="62">
        <v>0</v>
      </c>
      <c r="F212" s="62">
        <v>-1060</v>
      </c>
      <c r="G212" s="10"/>
      <c r="H212" s="1"/>
      <c r="I212" s="30"/>
      <c r="J212" s="30"/>
    </row>
    <row r="213" spans="1:10" ht="15" x14ac:dyDescent="0.2">
      <c r="A213" s="1"/>
      <c r="B213" s="1"/>
      <c r="C213" s="25"/>
      <c r="D213" s="1"/>
      <c r="E213" s="25"/>
      <c r="F213" s="25"/>
      <c r="G213" s="25"/>
      <c r="H213" s="1"/>
      <c r="I213" s="30"/>
      <c r="J213" s="30"/>
    </row>
    <row r="214" spans="1:10" ht="15" x14ac:dyDescent="0.2">
      <c r="A214" s="1"/>
      <c r="B214" s="1"/>
      <c r="C214" s="25" t="s">
        <v>80</v>
      </c>
      <c r="D214" s="1"/>
      <c r="E214" s="10">
        <f t="shared" ref="E214:F214" si="22">SUM(E211:E212)</f>
        <v>0</v>
      </c>
      <c r="F214" s="10">
        <f t="shared" si="22"/>
        <v>-2560</v>
      </c>
      <c r="G214" s="10">
        <f>E214+F214</f>
        <v>-2560</v>
      </c>
      <c r="H214" s="1"/>
      <c r="I214" s="30"/>
      <c r="J214" s="30"/>
    </row>
    <row r="215" spans="1:10" ht="15" x14ac:dyDescent="0.2">
      <c r="A215" s="1"/>
      <c r="B215" s="1"/>
      <c r="C215" s="25"/>
      <c r="D215" s="1"/>
      <c r="E215" s="25"/>
      <c r="F215" s="25"/>
      <c r="G215" s="25"/>
      <c r="H215" s="1"/>
      <c r="I215" s="30"/>
      <c r="J215" s="30"/>
    </row>
    <row r="216" spans="1:10" ht="15" x14ac:dyDescent="0.2">
      <c r="A216" s="1"/>
      <c r="B216" s="25" t="s">
        <v>448</v>
      </c>
      <c r="C216" s="1"/>
      <c r="D216" s="1"/>
      <c r="E216" s="34"/>
      <c r="F216" s="34"/>
      <c r="G216" s="10"/>
      <c r="H216" s="1"/>
      <c r="I216" s="30"/>
      <c r="J216" s="30"/>
    </row>
    <row r="217" spans="1:10" ht="15" x14ac:dyDescent="0.2">
      <c r="A217" s="1"/>
      <c r="B217" s="1"/>
      <c r="C217" s="1" t="s">
        <v>449</v>
      </c>
      <c r="D217" s="61"/>
      <c r="E217" s="62">
        <v>0</v>
      </c>
      <c r="F217" s="62">
        <v>-10000</v>
      </c>
      <c r="G217" s="10"/>
      <c r="H217" s="1"/>
      <c r="I217" s="30"/>
      <c r="J217" s="30"/>
    </row>
    <row r="218" spans="1:10" ht="15" x14ac:dyDescent="0.2">
      <c r="A218" s="1"/>
      <c r="B218" s="1"/>
      <c r="C218" s="1" t="s">
        <v>450</v>
      </c>
      <c r="D218" s="61"/>
      <c r="E218" s="62">
        <v>0</v>
      </c>
      <c r="F218" s="62">
        <v>-1000</v>
      </c>
      <c r="G218" s="10"/>
      <c r="H218" s="1"/>
      <c r="I218" s="30"/>
      <c r="J218" s="30"/>
    </row>
    <row r="219" spans="1:10" ht="15" x14ac:dyDescent="0.2">
      <c r="A219" s="1"/>
      <c r="B219" s="1"/>
      <c r="C219" s="1" t="s">
        <v>451</v>
      </c>
      <c r="D219" s="61"/>
      <c r="E219" s="62">
        <v>0</v>
      </c>
      <c r="F219" s="62">
        <v>-1000</v>
      </c>
      <c r="G219" s="10"/>
      <c r="H219" s="1"/>
      <c r="I219" s="30"/>
      <c r="J219" s="30"/>
    </row>
    <row r="220" spans="1:10" ht="15" x14ac:dyDescent="0.2">
      <c r="A220" s="1"/>
      <c r="B220" s="1"/>
      <c r="C220" s="1" t="s">
        <v>452</v>
      </c>
      <c r="D220" s="61"/>
      <c r="E220" s="62">
        <v>0</v>
      </c>
      <c r="F220" s="62">
        <v>-25000</v>
      </c>
      <c r="G220" s="10"/>
      <c r="H220" s="1"/>
      <c r="I220" s="30"/>
      <c r="J220" s="30"/>
    </row>
    <row r="221" spans="1:10" ht="15" x14ac:dyDescent="0.2">
      <c r="A221" s="1"/>
      <c r="B221" s="1"/>
      <c r="C221" s="1" t="s">
        <v>98</v>
      </c>
      <c r="D221" s="61"/>
      <c r="E221" s="62">
        <v>0</v>
      </c>
      <c r="F221" s="62">
        <v>-1000</v>
      </c>
      <c r="G221" s="10"/>
      <c r="H221" s="1"/>
      <c r="I221" s="30"/>
      <c r="J221" s="30"/>
    </row>
    <row r="222" spans="1:10" ht="15" x14ac:dyDescent="0.2">
      <c r="A222" s="1"/>
      <c r="B222" s="1"/>
      <c r="C222" s="25"/>
      <c r="D222" s="1"/>
      <c r="E222" s="25"/>
      <c r="F222" s="25"/>
      <c r="G222" s="25"/>
      <c r="H222" s="1"/>
      <c r="I222" s="30"/>
      <c r="J222" s="30"/>
    </row>
    <row r="223" spans="1:10" ht="15" x14ac:dyDescent="0.2">
      <c r="A223" s="1"/>
      <c r="B223" s="1"/>
      <c r="C223" s="25" t="s">
        <v>80</v>
      </c>
      <c r="D223" s="1"/>
      <c r="E223" s="10">
        <f t="shared" ref="E223:F223" si="23">SUM(E217:E221)</f>
        <v>0</v>
      </c>
      <c r="F223" s="10">
        <f t="shared" si="23"/>
        <v>-38000</v>
      </c>
      <c r="G223" s="10">
        <f>E223+F223</f>
        <v>-38000</v>
      </c>
      <c r="H223" s="1"/>
      <c r="I223" s="30"/>
      <c r="J223" s="30"/>
    </row>
    <row r="224" spans="1:10" ht="15" x14ac:dyDescent="0.2">
      <c r="A224" s="1"/>
      <c r="B224" s="1"/>
      <c r="C224" s="25"/>
      <c r="D224" s="1"/>
      <c r="E224" s="25"/>
      <c r="F224" s="25"/>
      <c r="G224" s="25"/>
      <c r="H224" s="1"/>
      <c r="I224" s="30"/>
      <c r="J224" s="30"/>
    </row>
    <row r="225" spans="1:10" ht="15" x14ac:dyDescent="0.2">
      <c r="A225" s="1"/>
      <c r="B225" s="25" t="s">
        <v>453</v>
      </c>
      <c r="C225" s="1"/>
      <c r="D225" s="1"/>
      <c r="E225" s="34"/>
      <c r="F225" s="34"/>
      <c r="G225" s="10"/>
      <c r="H225" s="1"/>
      <c r="I225" s="30"/>
      <c r="J225" s="30"/>
    </row>
    <row r="226" spans="1:10" ht="15" x14ac:dyDescent="0.2">
      <c r="A226" s="1"/>
      <c r="B226" s="1"/>
      <c r="C226" s="1" t="s">
        <v>88</v>
      </c>
      <c r="D226" s="61"/>
      <c r="E226" s="62">
        <v>1200</v>
      </c>
      <c r="F226" s="62">
        <v>0</v>
      </c>
      <c r="G226" s="10"/>
      <c r="H226" s="1"/>
      <c r="I226" s="30"/>
      <c r="J226" s="30"/>
    </row>
    <row r="227" spans="1:10" ht="15" x14ac:dyDescent="0.2">
      <c r="A227" s="1"/>
      <c r="B227" s="1"/>
      <c r="C227" s="1" t="s">
        <v>94</v>
      </c>
      <c r="D227" s="61"/>
      <c r="E227" s="62">
        <v>0</v>
      </c>
      <c r="F227" s="62">
        <v>-3500</v>
      </c>
      <c r="G227" s="10"/>
      <c r="H227" s="1"/>
      <c r="I227" s="30"/>
      <c r="J227" s="30"/>
    </row>
    <row r="228" spans="1:10" ht="15" x14ac:dyDescent="0.2">
      <c r="A228" s="1"/>
      <c r="B228" s="1"/>
      <c r="C228" s="1" t="s">
        <v>454</v>
      </c>
      <c r="D228" s="61"/>
      <c r="E228" s="62">
        <v>0</v>
      </c>
      <c r="F228" s="62">
        <v>-1200</v>
      </c>
      <c r="G228" s="10"/>
      <c r="H228" s="1"/>
      <c r="I228" s="30"/>
      <c r="J228" s="30"/>
    </row>
    <row r="229" spans="1:10" ht="15" x14ac:dyDescent="0.2">
      <c r="A229" s="1"/>
      <c r="B229" s="1"/>
      <c r="C229" s="1" t="s">
        <v>96</v>
      </c>
      <c r="D229" s="61"/>
      <c r="E229" s="62">
        <v>0</v>
      </c>
      <c r="F229" s="62">
        <v>-300</v>
      </c>
      <c r="G229" s="10"/>
      <c r="H229" s="1"/>
      <c r="I229" s="30"/>
      <c r="J229" s="30"/>
    </row>
    <row r="230" spans="1:10" ht="15" x14ac:dyDescent="0.2">
      <c r="A230" s="1"/>
      <c r="B230" s="1"/>
      <c r="C230" s="1" t="s">
        <v>97</v>
      </c>
      <c r="D230" s="61"/>
      <c r="E230" s="62">
        <v>0</v>
      </c>
      <c r="F230" s="62">
        <v>-300</v>
      </c>
      <c r="G230" s="10"/>
      <c r="H230" s="1"/>
      <c r="I230" s="30"/>
      <c r="J230" s="30"/>
    </row>
    <row r="231" spans="1:10" ht="15" x14ac:dyDescent="0.2">
      <c r="A231" s="1"/>
      <c r="B231" s="1"/>
      <c r="C231" s="1" t="s">
        <v>175</v>
      </c>
      <c r="D231" s="61"/>
      <c r="E231" s="62">
        <v>0</v>
      </c>
      <c r="F231" s="62">
        <v>-200</v>
      </c>
      <c r="G231" s="10"/>
      <c r="H231" s="1"/>
      <c r="I231" s="30"/>
      <c r="J231" s="30"/>
    </row>
    <row r="232" spans="1:10" ht="15" x14ac:dyDescent="0.2">
      <c r="A232" s="1"/>
      <c r="B232" s="1"/>
      <c r="C232" s="25"/>
      <c r="D232" s="1"/>
      <c r="E232" s="25"/>
      <c r="F232" s="25"/>
      <c r="G232" s="25"/>
      <c r="H232" s="1"/>
      <c r="I232" s="30"/>
      <c r="J232" s="30"/>
    </row>
    <row r="233" spans="1:10" ht="15" x14ac:dyDescent="0.2">
      <c r="A233" s="1"/>
      <c r="B233" s="1"/>
      <c r="C233" s="25" t="s">
        <v>80</v>
      </c>
      <c r="D233" s="1"/>
      <c r="E233" s="10">
        <f t="shared" ref="E233:F233" si="24">SUM(E226:E231)</f>
        <v>1200</v>
      </c>
      <c r="F233" s="10">
        <f t="shared" si="24"/>
        <v>-5500</v>
      </c>
      <c r="G233" s="10">
        <f>E233+F233</f>
        <v>-4300</v>
      </c>
      <c r="H233" s="1"/>
      <c r="I233" s="30"/>
      <c r="J233" s="30"/>
    </row>
    <row r="234" spans="1:10" ht="15" x14ac:dyDescent="0.2">
      <c r="A234" s="1"/>
      <c r="B234" s="1"/>
      <c r="C234" s="25"/>
      <c r="D234" s="1"/>
      <c r="E234" s="25"/>
      <c r="F234" s="25"/>
      <c r="G234" s="25"/>
      <c r="H234" s="1"/>
      <c r="I234" s="30"/>
      <c r="J234" s="30"/>
    </row>
    <row r="235" spans="1:10" ht="15" x14ac:dyDescent="0.2">
      <c r="A235" s="1"/>
      <c r="B235" s="25" t="s">
        <v>455</v>
      </c>
      <c r="C235" s="1"/>
      <c r="D235" s="1"/>
      <c r="E235" s="34"/>
      <c r="F235" s="34"/>
      <c r="G235" s="10"/>
      <c r="H235" s="1"/>
      <c r="I235" s="30"/>
      <c r="J235" s="30"/>
    </row>
    <row r="236" spans="1:10" ht="15" x14ac:dyDescent="0.2">
      <c r="A236" s="1"/>
      <c r="B236" s="1"/>
      <c r="C236" s="1" t="s">
        <v>191</v>
      </c>
      <c r="D236" s="61"/>
      <c r="E236" s="62">
        <v>0</v>
      </c>
      <c r="F236" s="62">
        <v>-1700</v>
      </c>
      <c r="G236" s="10"/>
      <c r="H236" s="1"/>
      <c r="I236" s="30"/>
      <c r="J236" s="30"/>
    </row>
    <row r="237" spans="1:10" ht="15" x14ac:dyDescent="0.2">
      <c r="A237" s="1"/>
      <c r="B237" s="1"/>
      <c r="C237" s="25"/>
      <c r="D237" s="1"/>
      <c r="E237" s="25"/>
      <c r="F237" s="25"/>
      <c r="G237" s="25"/>
      <c r="H237" s="1"/>
      <c r="I237" s="30"/>
      <c r="J237" s="30"/>
    </row>
    <row r="238" spans="1:10" ht="15" x14ac:dyDescent="0.2">
      <c r="A238" s="1"/>
      <c r="B238" s="1"/>
      <c r="C238" s="25" t="s">
        <v>80</v>
      </c>
      <c r="D238" s="1"/>
      <c r="E238" s="10">
        <f t="shared" ref="E238:F238" si="25">SUM(E236)</f>
        <v>0</v>
      </c>
      <c r="F238" s="10">
        <f t="shared" si="25"/>
        <v>-1700</v>
      </c>
      <c r="G238" s="10">
        <f>E238+F238</f>
        <v>-1700</v>
      </c>
      <c r="H238" s="1"/>
      <c r="I238" s="30"/>
      <c r="J238" s="30"/>
    </row>
    <row r="239" spans="1:10" ht="15" x14ac:dyDescent="0.2">
      <c r="A239" s="1"/>
      <c r="B239" s="1"/>
      <c r="C239" s="25"/>
      <c r="D239" s="1"/>
      <c r="E239" s="25"/>
      <c r="F239" s="25"/>
      <c r="G239" s="25"/>
      <c r="H239" s="1"/>
      <c r="I239" s="30"/>
      <c r="J239" s="30"/>
    </row>
    <row r="240" spans="1:10" ht="15" x14ac:dyDescent="0.2">
      <c r="A240" s="1"/>
      <c r="B240" s="25" t="s">
        <v>456</v>
      </c>
      <c r="C240" s="1"/>
      <c r="D240" s="1"/>
      <c r="E240" s="34"/>
      <c r="F240" s="34"/>
      <c r="G240" s="10"/>
      <c r="H240" s="1"/>
      <c r="I240" s="30"/>
      <c r="J240" s="30"/>
    </row>
    <row r="241" spans="1:10" ht="15" x14ac:dyDescent="0.2">
      <c r="A241" s="1"/>
      <c r="B241" s="1"/>
      <c r="C241" s="1" t="s">
        <v>88</v>
      </c>
      <c r="D241" s="61"/>
      <c r="E241" s="62">
        <v>2400</v>
      </c>
      <c r="F241" s="62">
        <v>0</v>
      </c>
      <c r="G241" s="10"/>
      <c r="H241" s="1"/>
      <c r="I241" s="30"/>
      <c r="J241" s="30"/>
    </row>
    <row r="242" spans="1:10" ht="15" x14ac:dyDescent="0.2">
      <c r="A242" s="1"/>
      <c r="B242" s="1"/>
      <c r="C242" s="1" t="s">
        <v>96</v>
      </c>
      <c r="D242" s="61"/>
      <c r="E242" s="62">
        <v>0</v>
      </c>
      <c r="F242" s="62">
        <v>-1100</v>
      </c>
      <c r="G242" s="10"/>
      <c r="H242" s="1"/>
      <c r="I242" s="30"/>
      <c r="J242" s="30"/>
    </row>
    <row r="243" spans="1:10" ht="15" x14ac:dyDescent="0.2">
      <c r="A243" s="1"/>
      <c r="B243" s="1"/>
      <c r="C243" s="1" t="s">
        <v>98</v>
      </c>
      <c r="D243" s="61"/>
      <c r="E243" s="62">
        <v>0</v>
      </c>
      <c r="F243" s="62">
        <v>-400</v>
      </c>
      <c r="G243" s="10"/>
      <c r="H243" s="1"/>
      <c r="I243" s="30"/>
      <c r="J243" s="30"/>
    </row>
    <row r="244" spans="1:10" ht="15" x14ac:dyDescent="0.2">
      <c r="A244" s="1"/>
      <c r="B244" s="1"/>
      <c r="C244" s="1" t="s">
        <v>151</v>
      </c>
      <c r="D244" s="61"/>
      <c r="E244" s="62">
        <v>0</v>
      </c>
      <c r="F244" s="62">
        <v>-5000</v>
      </c>
      <c r="G244" s="10"/>
      <c r="H244" s="1"/>
      <c r="I244" s="30"/>
      <c r="J244" s="30"/>
    </row>
    <row r="245" spans="1:10" ht="15" x14ac:dyDescent="0.2">
      <c r="A245" s="1"/>
      <c r="B245" s="1"/>
      <c r="C245" s="1" t="s">
        <v>83</v>
      </c>
      <c r="D245" s="61"/>
      <c r="E245" s="62">
        <v>0</v>
      </c>
      <c r="F245" s="62">
        <v>-500</v>
      </c>
      <c r="G245" s="10"/>
      <c r="H245" s="1"/>
      <c r="I245" s="30"/>
      <c r="J245" s="30"/>
    </row>
    <row r="246" spans="1:10" ht="15" x14ac:dyDescent="0.2">
      <c r="A246" s="1"/>
      <c r="B246" s="1"/>
      <c r="C246" s="25"/>
      <c r="D246" s="1"/>
      <c r="E246" s="25"/>
      <c r="F246" s="25"/>
      <c r="G246" s="25"/>
      <c r="H246" s="1"/>
      <c r="I246" s="30"/>
      <c r="J246" s="30"/>
    </row>
    <row r="247" spans="1:10" ht="15" x14ac:dyDescent="0.2">
      <c r="A247" s="1"/>
      <c r="B247" s="1"/>
      <c r="C247" s="25" t="s">
        <v>80</v>
      </c>
      <c r="D247" s="1"/>
      <c r="E247" s="10">
        <f t="shared" ref="E247:F247" si="26">SUM(E241:E245)</f>
        <v>2400</v>
      </c>
      <c r="F247" s="10">
        <f t="shared" si="26"/>
        <v>-7000</v>
      </c>
      <c r="G247" s="10">
        <f>E247+F247</f>
        <v>-4600</v>
      </c>
      <c r="H247" s="1"/>
      <c r="I247" s="30"/>
      <c r="J247" s="30"/>
    </row>
    <row r="248" spans="1:10" ht="15" x14ac:dyDescent="0.2">
      <c r="A248" s="1"/>
      <c r="B248" s="1"/>
      <c r="C248" s="25"/>
      <c r="D248" s="1"/>
      <c r="E248" s="25"/>
      <c r="F248" s="25"/>
      <c r="G248" s="25"/>
      <c r="H248" s="1"/>
      <c r="I248" s="30"/>
      <c r="J248" s="30"/>
    </row>
    <row r="249" spans="1:10" ht="15" x14ac:dyDescent="0.2">
      <c r="A249" s="1"/>
      <c r="B249" s="25" t="s">
        <v>457</v>
      </c>
      <c r="C249" s="1"/>
      <c r="D249" s="1"/>
      <c r="E249" s="34"/>
      <c r="F249" s="34"/>
      <c r="G249" s="10"/>
      <c r="H249" s="1"/>
      <c r="I249" s="30"/>
      <c r="J249" s="30"/>
    </row>
    <row r="250" spans="1:10" ht="15" x14ac:dyDescent="0.2">
      <c r="A250" s="1"/>
      <c r="B250" s="1"/>
      <c r="C250" s="1" t="s">
        <v>458</v>
      </c>
      <c r="D250" s="61"/>
      <c r="E250" s="62">
        <v>5600</v>
      </c>
      <c r="F250" s="62">
        <v>0</v>
      </c>
      <c r="G250" s="10"/>
      <c r="H250" s="1"/>
      <c r="I250" s="30"/>
      <c r="J250" s="30"/>
    </row>
    <row r="251" spans="1:10" ht="15" x14ac:dyDescent="0.2">
      <c r="A251" s="1"/>
      <c r="B251" s="1"/>
      <c r="C251" s="1" t="s">
        <v>94</v>
      </c>
      <c r="D251" s="61"/>
      <c r="E251" s="62">
        <v>0</v>
      </c>
      <c r="F251" s="62">
        <v>-6000</v>
      </c>
      <c r="G251" s="10"/>
      <c r="H251" s="1"/>
      <c r="I251" s="30"/>
      <c r="J251" s="30"/>
    </row>
    <row r="252" spans="1:10" ht="15" x14ac:dyDescent="0.2">
      <c r="A252" s="1"/>
      <c r="B252" s="1"/>
      <c r="C252" s="1" t="s">
        <v>322</v>
      </c>
      <c r="D252" s="61"/>
      <c r="E252" s="62">
        <v>0</v>
      </c>
      <c r="F252" s="62">
        <v>-400</v>
      </c>
      <c r="G252" s="10"/>
      <c r="H252" s="1"/>
      <c r="I252" s="30"/>
      <c r="J252" s="30"/>
    </row>
    <row r="253" spans="1:10" ht="15" x14ac:dyDescent="0.2">
      <c r="A253" s="1"/>
      <c r="B253" s="1"/>
      <c r="C253" s="1" t="s">
        <v>98</v>
      </c>
      <c r="D253" s="61"/>
      <c r="E253" s="62">
        <v>0</v>
      </c>
      <c r="F253" s="62">
        <v>-1000</v>
      </c>
      <c r="G253" s="10"/>
      <c r="H253" s="1"/>
      <c r="I253" s="30"/>
      <c r="J253" s="30"/>
    </row>
    <row r="254" spans="1:10" ht="15" x14ac:dyDescent="0.2">
      <c r="A254" s="1"/>
      <c r="B254" s="1"/>
      <c r="C254" s="1" t="s">
        <v>151</v>
      </c>
      <c r="D254" s="61"/>
      <c r="E254" s="62">
        <v>0</v>
      </c>
      <c r="F254" s="62">
        <v>-2450</v>
      </c>
      <c r="G254" s="10"/>
      <c r="H254" s="1"/>
      <c r="I254" s="30"/>
      <c r="J254" s="30"/>
    </row>
    <row r="255" spans="1:10" ht="15" x14ac:dyDescent="0.2">
      <c r="A255" s="1"/>
      <c r="B255" s="1"/>
      <c r="C255" s="1" t="s">
        <v>212</v>
      </c>
      <c r="D255" s="61"/>
      <c r="E255" s="62">
        <v>0</v>
      </c>
      <c r="F255" s="62">
        <v>-500</v>
      </c>
      <c r="G255" s="10"/>
      <c r="H255" s="1"/>
      <c r="I255" s="30"/>
      <c r="J255" s="30"/>
    </row>
    <row r="256" spans="1:10" ht="15" x14ac:dyDescent="0.2">
      <c r="A256" s="1"/>
      <c r="B256" s="1"/>
      <c r="C256" s="1" t="s">
        <v>96</v>
      </c>
      <c r="D256" s="61"/>
      <c r="E256" s="62">
        <v>0</v>
      </c>
      <c r="F256" s="62">
        <v>-750</v>
      </c>
      <c r="G256" s="10"/>
      <c r="H256" s="1"/>
      <c r="I256" s="30"/>
      <c r="J256" s="30"/>
    </row>
    <row r="257" spans="1:10" ht="15" x14ac:dyDescent="0.2">
      <c r="A257" s="1"/>
      <c r="B257" s="1"/>
      <c r="C257" s="25"/>
      <c r="D257" s="1"/>
      <c r="E257" s="25"/>
      <c r="F257" s="25"/>
      <c r="G257" s="25"/>
      <c r="H257" s="1"/>
      <c r="I257" s="30"/>
      <c r="J257" s="30"/>
    </row>
    <row r="258" spans="1:10" ht="15" x14ac:dyDescent="0.2">
      <c r="A258" s="1"/>
      <c r="B258" s="1"/>
      <c r="C258" s="25" t="s">
        <v>80</v>
      </c>
      <c r="D258" s="1"/>
      <c r="E258" s="10">
        <f t="shared" ref="E258:F258" si="27">SUM(E250:E256)</f>
        <v>5600</v>
      </c>
      <c r="F258" s="10">
        <f t="shared" si="27"/>
        <v>-11100</v>
      </c>
      <c r="G258" s="10">
        <f>E258+F258</f>
        <v>-5500</v>
      </c>
      <c r="H258" s="1"/>
      <c r="I258" s="30"/>
      <c r="J258" s="30"/>
    </row>
    <row r="259" spans="1:10" ht="15" x14ac:dyDescent="0.2">
      <c r="A259" s="1"/>
      <c r="B259" s="1"/>
      <c r="C259" s="25"/>
      <c r="D259" s="1"/>
      <c r="E259" s="25"/>
      <c r="F259" s="25"/>
      <c r="G259" s="25"/>
      <c r="H259" s="1"/>
      <c r="I259" s="30"/>
      <c r="J259" s="30"/>
    </row>
    <row r="260" spans="1:10" ht="15" x14ac:dyDescent="0.2">
      <c r="A260" s="1"/>
      <c r="B260" s="25" t="s">
        <v>459</v>
      </c>
      <c r="C260" s="1"/>
      <c r="D260" s="1"/>
      <c r="E260" s="34"/>
      <c r="F260" s="34"/>
      <c r="G260" s="10"/>
      <c r="H260" s="1"/>
      <c r="I260" s="30"/>
      <c r="J260" s="30"/>
    </row>
    <row r="261" spans="1:10" ht="15" x14ac:dyDescent="0.2">
      <c r="A261" s="1"/>
      <c r="B261" s="1"/>
      <c r="C261" s="1" t="s">
        <v>460</v>
      </c>
      <c r="D261" s="61"/>
      <c r="E261" s="62">
        <v>0</v>
      </c>
      <c r="F261" s="62">
        <v>-2500</v>
      </c>
      <c r="G261" s="10"/>
      <c r="H261" s="1"/>
      <c r="I261" s="30"/>
      <c r="J261" s="30"/>
    </row>
    <row r="262" spans="1:10" ht="15" x14ac:dyDescent="0.2">
      <c r="A262" s="1"/>
      <c r="B262" s="1"/>
      <c r="C262" s="1" t="s">
        <v>255</v>
      </c>
      <c r="D262" s="61"/>
      <c r="E262" s="62">
        <v>0</v>
      </c>
      <c r="F262" s="62">
        <v>-1170</v>
      </c>
      <c r="G262" s="10"/>
      <c r="H262" s="1"/>
      <c r="I262" s="30"/>
      <c r="J262" s="30"/>
    </row>
    <row r="263" spans="1:10" ht="15" x14ac:dyDescent="0.2">
      <c r="A263" s="1"/>
      <c r="B263" s="1"/>
      <c r="C263" s="1" t="s">
        <v>94</v>
      </c>
      <c r="D263" s="61"/>
      <c r="E263" s="62">
        <v>0</v>
      </c>
      <c r="F263" s="62">
        <v>-5330</v>
      </c>
      <c r="G263" s="10"/>
      <c r="H263" s="1"/>
      <c r="I263" s="30"/>
      <c r="J263" s="30"/>
    </row>
    <row r="264" spans="1:10" ht="15" x14ac:dyDescent="0.2">
      <c r="A264" s="1"/>
      <c r="B264" s="1"/>
      <c r="C264" s="1" t="s">
        <v>461</v>
      </c>
      <c r="D264" s="61"/>
      <c r="E264" s="62">
        <v>0</v>
      </c>
      <c r="F264" s="62">
        <v>-500</v>
      </c>
      <c r="G264" s="10"/>
      <c r="H264" s="1"/>
      <c r="I264" s="30"/>
      <c r="J264" s="30"/>
    </row>
    <row r="265" spans="1:10" ht="15" x14ac:dyDescent="0.2">
      <c r="A265" s="1"/>
      <c r="B265" s="1"/>
      <c r="C265" s="25"/>
      <c r="D265" s="1"/>
      <c r="E265" s="25"/>
      <c r="F265" s="25"/>
      <c r="G265" s="25"/>
      <c r="H265" s="1"/>
      <c r="I265" s="30"/>
      <c r="J265" s="30"/>
    </row>
    <row r="266" spans="1:10" ht="15" x14ac:dyDescent="0.2">
      <c r="A266" s="1"/>
      <c r="B266" s="1"/>
      <c r="C266" s="25" t="s">
        <v>80</v>
      </c>
      <c r="D266" s="1"/>
      <c r="E266" s="10">
        <f t="shared" ref="E266:F266" si="28">SUM(E261:E264)</f>
        <v>0</v>
      </c>
      <c r="F266" s="10">
        <f t="shared" si="28"/>
        <v>-9500</v>
      </c>
      <c r="G266" s="10">
        <f>E266+F266</f>
        <v>-9500</v>
      </c>
      <c r="H266" s="1"/>
      <c r="I266" s="30"/>
      <c r="J266" s="30"/>
    </row>
    <row r="267" spans="1:10" ht="15" x14ac:dyDescent="0.2">
      <c r="A267" s="1"/>
      <c r="B267" s="1"/>
      <c r="C267" s="25"/>
      <c r="D267" s="1"/>
      <c r="E267" s="25"/>
      <c r="F267" s="25"/>
      <c r="G267" s="25"/>
      <c r="H267" s="1"/>
      <c r="I267" s="30"/>
      <c r="J267" s="30"/>
    </row>
    <row r="268" spans="1:10" ht="15" x14ac:dyDescent="0.2">
      <c r="A268" s="1"/>
      <c r="B268" s="25" t="s">
        <v>462</v>
      </c>
      <c r="C268" s="1"/>
      <c r="D268" s="1"/>
      <c r="E268" s="34"/>
      <c r="F268" s="34"/>
      <c r="G268" s="10"/>
      <c r="H268" s="1"/>
      <c r="I268" s="30"/>
      <c r="J268" s="30"/>
    </row>
    <row r="269" spans="1:10" ht="15" x14ac:dyDescent="0.2">
      <c r="A269" s="1"/>
      <c r="B269" s="1"/>
      <c r="C269" s="1" t="s">
        <v>463</v>
      </c>
      <c r="D269" s="61"/>
      <c r="E269" s="62">
        <v>0</v>
      </c>
      <c r="F269" s="62">
        <v>-7500</v>
      </c>
      <c r="G269" s="10"/>
      <c r="H269" s="1"/>
      <c r="I269" s="30"/>
      <c r="J269" s="30"/>
    </row>
    <row r="270" spans="1:10" ht="15" x14ac:dyDescent="0.2">
      <c r="A270" s="1"/>
      <c r="B270" s="1"/>
      <c r="C270" s="1" t="s">
        <v>464</v>
      </c>
      <c r="D270" s="61"/>
      <c r="E270" s="62">
        <v>0</v>
      </c>
      <c r="F270" s="62">
        <v>-7500</v>
      </c>
      <c r="G270" s="10"/>
      <c r="H270" s="1"/>
      <c r="I270" s="30"/>
      <c r="J270" s="30"/>
    </row>
    <row r="271" spans="1:10" ht="15" x14ac:dyDescent="0.2">
      <c r="A271" s="1"/>
      <c r="B271" s="1"/>
      <c r="C271" s="1" t="s">
        <v>465</v>
      </c>
      <c r="D271" s="61"/>
      <c r="E271" s="62">
        <v>0</v>
      </c>
      <c r="F271" s="62">
        <v>-2500</v>
      </c>
      <c r="G271" s="10"/>
      <c r="H271" s="1"/>
      <c r="I271" s="30"/>
      <c r="J271" s="30"/>
    </row>
    <row r="272" spans="1:10" ht="15" x14ac:dyDescent="0.2">
      <c r="A272" s="1"/>
      <c r="B272" s="1"/>
      <c r="C272" s="1" t="s">
        <v>466</v>
      </c>
      <c r="D272" s="61"/>
      <c r="E272" s="62">
        <v>0</v>
      </c>
      <c r="F272" s="62">
        <v>-900</v>
      </c>
      <c r="G272" s="10"/>
      <c r="H272" s="1"/>
      <c r="I272" s="30"/>
      <c r="J272" s="30"/>
    </row>
    <row r="273" spans="1:10" ht="15" x14ac:dyDescent="0.2">
      <c r="A273" s="1"/>
      <c r="B273" s="1"/>
      <c r="C273" s="1" t="s">
        <v>467</v>
      </c>
      <c r="D273" s="61"/>
      <c r="E273" s="62">
        <v>0</v>
      </c>
      <c r="F273" s="62">
        <v>-2500</v>
      </c>
      <c r="G273" s="10"/>
      <c r="H273" s="1"/>
      <c r="I273" s="30"/>
      <c r="J273" s="30"/>
    </row>
    <row r="274" spans="1:10" ht="15" x14ac:dyDescent="0.2">
      <c r="A274" s="1"/>
      <c r="B274" s="1"/>
      <c r="C274" s="1" t="s">
        <v>468</v>
      </c>
      <c r="D274" s="61"/>
      <c r="E274" s="62">
        <v>0</v>
      </c>
      <c r="F274" s="62">
        <v>-20490</v>
      </c>
      <c r="G274" s="10"/>
      <c r="H274" s="1"/>
      <c r="I274" s="30"/>
      <c r="J274" s="30"/>
    </row>
    <row r="275" spans="1:10" ht="15" x14ac:dyDescent="0.2">
      <c r="A275" s="1"/>
      <c r="B275" s="1"/>
      <c r="C275" s="1" t="s">
        <v>469</v>
      </c>
      <c r="D275" s="61"/>
      <c r="E275" s="62">
        <v>0</v>
      </c>
      <c r="F275" s="62">
        <v>-900</v>
      </c>
      <c r="G275" s="10"/>
      <c r="H275" s="1"/>
      <c r="I275" s="30"/>
      <c r="J275" s="30"/>
    </row>
    <row r="276" spans="1:10" ht="15" x14ac:dyDescent="0.2">
      <c r="A276" s="1"/>
      <c r="B276" s="1"/>
      <c r="C276" s="25"/>
      <c r="D276" s="1"/>
      <c r="E276" s="25"/>
      <c r="F276" s="25"/>
      <c r="G276" s="25"/>
      <c r="H276" s="1"/>
      <c r="I276" s="30"/>
      <c r="J276" s="30"/>
    </row>
    <row r="277" spans="1:10" ht="15" x14ac:dyDescent="0.2">
      <c r="A277" s="1"/>
      <c r="B277" s="1"/>
      <c r="C277" s="25" t="s">
        <v>80</v>
      </c>
      <c r="D277" s="1"/>
      <c r="E277" s="10">
        <f t="shared" ref="E277:F277" si="29">SUM(E269:E275)</f>
        <v>0</v>
      </c>
      <c r="F277" s="10">
        <f t="shared" si="29"/>
        <v>-42290</v>
      </c>
      <c r="G277" s="10">
        <f>E277+F277</f>
        <v>-42290</v>
      </c>
      <c r="H277" s="1"/>
      <c r="I277" s="30"/>
      <c r="J277" s="30"/>
    </row>
    <row r="278" spans="1:10" ht="15" x14ac:dyDescent="0.2">
      <c r="A278" s="1"/>
      <c r="B278" s="1"/>
      <c r="C278" s="25"/>
      <c r="D278" s="1"/>
      <c r="E278" s="25"/>
      <c r="F278" s="25"/>
      <c r="G278" s="25"/>
      <c r="H278" s="1"/>
      <c r="I278" s="30"/>
      <c r="J278" s="30"/>
    </row>
    <row r="279" spans="1:10" ht="15" x14ac:dyDescent="0.2">
      <c r="A279" s="1"/>
      <c r="B279" s="25" t="s">
        <v>470</v>
      </c>
      <c r="C279" s="1"/>
      <c r="D279" s="1"/>
      <c r="E279" s="34"/>
      <c r="F279" s="34"/>
      <c r="G279" s="10"/>
      <c r="H279" s="1"/>
      <c r="I279" s="30"/>
      <c r="J279" s="30"/>
    </row>
    <row r="280" spans="1:10" ht="15" x14ac:dyDescent="0.2">
      <c r="A280" s="1"/>
      <c r="B280" s="1"/>
      <c r="C280" s="1" t="s">
        <v>212</v>
      </c>
      <c r="D280" s="61"/>
      <c r="E280" s="62">
        <v>0</v>
      </c>
      <c r="F280" s="62">
        <v>-200</v>
      </c>
      <c r="G280" s="10"/>
      <c r="H280" s="1"/>
      <c r="I280" s="30"/>
      <c r="J280" s="30"/>
    </row>
    <row r="281" spans="1:10" ht="15" x14ac:dyDescent="0.2">
      <c r="A281" s="1"/>
      <c r="B281" s="1"/>
      <c r="C281" s="1" t="s">
        <v>471</v>
      </c>
      <c r="D281" s="61"/>
      <c r="E281" s="62">
        <v>0</v>
      </c>
      <c r="F281" s="62">
        <v>-450</v>
      </c>
      <c r="G281" s="10"/>
      <c r="H281" s="1"/>
      <c r="I281" s="30"/>
      <c r="J281" s="30"/>
    </row>
    <row r="282" spans="1:10" ht="15" x14ac:dyDescent="0.2">
      <c r="A282" s="1"/>
      <c r="B282" s="1"/>
      <c r="C282" s="25"/>
      <c r="D282" s="1"/>
      <c r="E282" s="25"/>
      <c r="F282" s="25"/>
      <c r="G282" s="25"/>
      <c r="H282" s="1"/>
      <c r="I282" s="30"/>
      <c r="J282" s="30"/>
    </row>
    <row r="283" spans="1:10" ht="15" x14ac:dyDescent="0.2">
      <c r="A283" s="1"/>
      <c r="B283" s="1"/>
      <c r="C283" s="25" t="s">
        <v>80</v>
      </c>
      <c r="D283" s="1"/>
      <c r="E283" s="10">
        <f t="shared" ref="E283:F283" si="30">SUM(E280:E281)</f>
        <v>0</v>
      </c>
      <c r="F283" s="10">
        <f t="shared" si="30"/>
        <v>-650</v>
      </c>
      <c r="G283" s="10">
        <f>E283+F283</f>
        <v>-650</v>
      </c>
      <c r="H283" s="1"/>
      <c r="I283" s="30"/>
      <c r="J283" s="30"/>
    </row>
    <row r="284" spans="1:10" ht="15" x14ac:dyDescent="0.2">
      <c r="A284" s="1"/>
      <c r="B284" s="1"/>
      <c r="C284" s="25"/>
      <c r="D284" s="1"/>
      <c r="E284" s="25"/>
      <c r="F284" s="25"/>
      <c r="G284" s="25"/>
      <c r="H284" s="1"/>
      <c r="I284" s="30"/>
      <c r="J284" s="30"/>
    </row>
    <row r="285" spans="1:10" ht="15" x14ac:dyDescent="0.2">
      <c r="A285" s="1"/>
      <c r="B285" s="25" t="s">
        <v>472</v>
      </c>
      <c r="C285" s="1"/>
      <c r="D285" s="1"/>
      <c r="E285" s="34"/>
      <c r="F285" s="34"/>
      <c r="G285" s="10"/>
      <c r="H285" s="1"/>
      <c r="I285" s="30"/>
      <c r="J285" s="30"/>
    </row>
    <row r="286" spans="1:10" ht="15" x14ac:dyDescent="0.2">
      <c r="A286" s="1"/>
      <c r="B286" s="1"/>
      <c r="C286" s="1" t="s">
        <v>88</v>
      </c>
      <c r="D286" s="61"/>
      <c r="E286" s="62">
        <v>6700</v>
      </c>
      <c r="F286" s="62">
        <v>0</v>
      </c>
      <c r="G286" s="10"/>
      <c r="H286" s="1"/>
      <c r="I286" s="30"/>
      <c r="J286" s="30"/>
    </row>
    <row r="287" spans="1:10" ht="15" x14ac:dyDescent="0.2">
      <c r="A287" s="1"/>
      <c r="B287" s="1"/>
      <c r="C287" s="1" t="s">
        <v>442</v>
      </c>
      <c r="D287" s="61"/>
      <c r="E287" s="62">
        <v>0</v>
      </c>
      <c r="F287" s="62">
        <v>-2100</v>
      </c>
      <c r="G287" s="10"/>
      <c r="H287" s="1"/>
      <c r="I287" s="30"/>
      <c r="J287" s="30"/>
    </row>
    <row r="288" spans="1:10" ht="15" x14ac:dyDescent="0.2">
      <c r="A288" s="1"/>
      <c r="B288" s="1"/>
      <c r="C288" s="1" t="s">
        <v>96</v>
      </c>
      <c r="D288" s="61"/>
      <c r="E288" s="62">
        <v>0</v>
      </c>
      <c r="F288" s="62">
        <v>-500</v>
      </c>
      <c r="G288" s="10"/>
      <c r="H288" s="1"/>
      <c r="I288" s="30"/>
      <c r="J288" s="30"/>
    </row>
    <row r="289" spans="1:10" ht="15" x14ac:dyDescent="0.2">
      <c r="A289" s="1"/>
      <c r="B289" s="1"/>
      <c r="C289" s="1" t="s">
        <v>98</v>
      </c>
      <c r="D289" s="61"/>
      <c r="E289" s="62">
        <v>0</v>
      </c>
      <c r="F289" s="62">
        <v>-410</v>
      </c>
      <c r="G289" s="10"/>
      <c r="H289" s="1"/>
      <c r="I289" s="30"/>
      <c r="J289" s="30"/>
    </row>
    <row r="290" spans="1:10" ht="15" x14ac:dyDescent="0.2">
      <c r="A290" s="1"/>
      <c r="B290" s="1"/>
      <c r="C290" s="1" t="s">
        <v>94</v>
      </c>
      <c r="D290" s="61"/>
      <c r="E290" s="62">
        <v>0</v>
      </c>
      <c r="F290" s="62">
        <v>-3090</v>
      </c>
      <c r="G290" s="10"/>
      <c r="H290" s="1"/>
      <c r="I290" s="30"/>
      <c r="J290" s="30"/>
    </row>
    <row r="291" spans="1:10" ht="15" x14ac:dyDescent="0.2">
      <c r="A291" s="1"/>
      <c r="B291" s="1"/>
      <c r="C291" s="25"/>
      <c r="D291" s="1"/>
      <c r="E291" s="25"/>
      <c r="F291" s="25"/>
      <c r="G291" s="25"/>
      <c r="H291" s="1"/>
      <c r="I291" s="30"/>
      <c r="J291" s="30"/>
    </row>
    <row r="292" spans="1:10" ht="15" x14ac:dyDescent="0.2">
      <c r="A292" s="1"/>
      <c r="B292" s="1"/>
      <c r="C292" s="25" t="s">
        <v>80</v>
      </c>
      <c r="D292" s="1"/>
      <c r="E292" s="10">
        <f t="shared" ref="E292:F292" si="31">SUM(E286:E290)</f>
        <v>6700</v>
      </c>
      <c r="F292" s="10">
        <f t="shared" si="31"/>
        <v>-6100</v>
      </c>
      <c r="G292" s="10">
        <f>E292+F292</f>
        <v>600</v>
      </c>
      <c r="H292" s="1"/>
      <c r="I292" s="30"/>
      <c r="J292" s="30"/>
    </row>
    <row r="293" spans="1:10" ht="15" x14ac:dyDescent="0.2">
      <c r="A293" s="1"/>
      <c r="B293" s="1"/>
      <c r="C293" s="25"/>
      <c r="D293" s="1"/>
      <c r="E293" s="25"/>
      <c r="F293" s="25"/>
      <c r="G293" s="25"/>
      <c r="H293" s="1"/>
      <c r="I293" s="30"/>
      <c r="J293" s="30"/>
    </row>
    <row r="294" spans="1:10" ht="15" x14ac:dyDescent="0.2">
      <c r="A294" s="1"/>
      <c r="B294" s="25" t="s">
        <v>473</v>
      </c>
      <c r="C294" s="1"/>
      <c r="D294" s="1"/>
      <c r="E294" s="34"/>
      <c r="F294" s="34"/>
      <c r="G294" s="10"/>
      <c r="H294" s="1"/>
      <c r="I294" s="30"/>
      <c r="J294" s="30"/>
    </row>
    <row r="295" spans="1:10" ht="15" x14ac:dyDescent="0.2">
      <c r="A295" s="1"/>
      <c r="B295" s="1"/>
      <c r="C295" s="1" t="s">
        <v>88</v>
      </c>
      <c r="D295" s="61"/>
      <c r="E295" s="62">
        <v>10500</v>
      </c>
      <c r="F295" s="62">
        <v>0</v>
      </c>
      <c r="G295" s="10"/>
      <c r="H295" s="1"/>
      <c r="I295" s="30"/>
      <c r="J295" s="30"/>
    </row>
    <row r="296" spans="1:10" ht="15" x14ac:dyDescent="0.2">
      <c r="A296" s="1"/>
      <c r="B296" s="1"/>
      <c r="C296" s="1" t="s">
        <v>94</v>
      </c>
      <c r="D296" s="61"/>
      <c r="E296" s="62">
        <v>0</v>
      </c>
      <c r="F296" s="62">
        <v>-8600</v>
      </c>
      <c r="G296" s="10"/>
      <c r="H296" s="1"/>
      <c r="I296" s="30"/>
      <c r="J296" s="30"/>
    </row>
    <row r="297" spans="1:10" ht="15" x14ac:dyDescent="0.2">
      <c r="A297" s="1"/>
      <c r="B297" s="1"/>
      <c r="C297" s="1" t="s">
        <v>474</v>
      </c>
      <c r="D297" s="61"/>
      <c r="E297" s="62">
        <v>0</v>
      </c>
      <c r="F297" s="62">
        <v>-2000</v>
      </c>
      <c r="G297" s="10"/>
      <c r="H297" s="1"/>
      <c r="I297" s="30"/>
      <c r="J297" s="30"/>
    </row>
    <row r="298" spans="1:10" ht="15" x14ac:dyDescent="0.2">
      <c r="A298" s="1"/>
      <c r="B298" s="1"/>
      <c r="C298" s="1" t="s">
        <v>151</v>
      </c>
      <c r="D298" s="61"/>
      <c r="E298" s="62">
        <v>0</v>
      </c>
      <c r="F298" s="62">
        <v>-900</v>
      </c>
      <c r="G298" s="10"/>
      <c r="H298" s="1"/>
      <c r="I298" s="30"/>
      <c r="J298" s="30"/>
    </row>
    <row r="299" spans="1:10" ht="15" x14ac:dyDescent="0.2">
      <c r="A299" s="1"/>
      <c r="B299" s="1"/>
      <c r="C299" s="1" t="s">
        <v>291</v>
      </c>
      <c r="D299" s="61"/>
      <c r="E299" s="62">
        <v>0</v>
      </c>
      <c r="F299" s="62">
        <v>-1000</v>
      </c>
      <c r="G299" s="10"/>
      <c r="H299" s="1"/>
      <c r="I299" s="30"/>
      <c r="J299" s="30"/>
    </row>
    <row r="300" spans="1:10" ht="15" x14ac:dyDescent="0.2">
      <c r="A300" s="1"/>
      <c r="B300" s="1"/>
      <c r="C300" s="1" t="s">
        <v>98</v>
      </c>
      <c r="D300" s="61"/>
      <c r="E300" s="62">
        <v>0</v>
      </c>
      <c r="F300" s="62">
        <v>-500</v>
      </c>
      <c r="G300" s="10"/>
      <c r="H300" s="1"/>
      <c r="I300" s="30"/>
      <c r="J300" s="30"/>
    </row>
    <row r="301" spans="1:10" ht="15" x14ac:dyDescent="0.2">
      <c r="A301" s="1"/>
      <c r="B301" s="1"/>
      <c r="C301" s="25"/>
      <c r="D301" s="1"/>
      <c r="E301" s="25"/>
      <c r="F301" s="25"/>
      <c r="G301" s="25"/>
      <c r="H301" s="1"/>
      <c r="I301" s="30"/>
      <c r="J301" s="30"/>
    </row>
    <row r="302" spans="1:10" ht="15" x14ac:dyDescent="0.2">
      <c r="A302" s="1"/>
      <c r="B302" s="1"/>
      <c r="C302" s="25" t="s">
        <v>80</v>
      </c>
      <c r="D302" s="1"/>
      <c r="E302" s="10">
        <f t="shared" ref="E302:F302" si="32">SUM(E295:E300)</f>
        <v>10500</v>
      </c>
      <c r="F302" s="10">
        <f t="shared" si="32"/>
        <v>-13000</v>
      </c>
      <c r="G302" s="10">
        <f>E302+F302</f>
        <v>-2500</v>
      </c>
      <c r="H302" s="1"/>
      <c r="I302" s="30"/>
      <c r="J302" s="30"/>
    </row>
    <row r="303" spans="1:10" ht="15" x14ac:dyDescent="0.2">
      <c r="A303" s="1"/>
      <c r="B303" s="1"/>
      <c r="C303" s="25"/>
      <c r="D303" s="1"/>
      <c r="E303" s="25"/>
      <c r="F303" s="25"/>
      <c r="G303" s="25"/>
      <c r="H303" s="1"/>
      <c r="I303" s="30"/>
      <c r="J303" s="30"/>
    </row>
    <row r="304" spans="1:10" ht="15" x14ac:dyDescent="0.2">
      <c r="A304" s="1"/>
      <c r="B304" s="25" t="s">
        <v>475</v>
      </c>
      <c r="C304" s="1"/>
      <c r="D304" s="1"/>
      <c r="E304" s="34"/>
      <c r="F304" s="34"/>
      <c r="G304" s="10"/>
      <c r="H304" s="1"/>
      <c r="I304" s="30"/>
      <c r="J304" s="30"/>
    </row>
    <row r="305" spans="1:10" ht="15" x14ac:dyDescent="0.2">
      <c r="A305" s="1"/>
      <c r="B305" s="1"/>
      <c r="C305" s="1" t="s">
        <v>476</v>
      </c>
      <c r="D305" s="61"/>
      <c r="E305" s="62">
        <v>0</v>
      </c>
      <c r="F305" s="62">
        <v>-2000</v>
      </c>
      <c r="G305" s="10"/>
      <c r="H305" s="1"/>
      <c r="I305" s="30"/>
      <c r="J305" s="30"/>
    </row>
    <row r="306" spans="1:10" ht="15" x14ac:dyDescent="0.2">
      <c r="A306" s="1"/>
      <c r="B306" s="1"/>
      <c r="C306" s="1" t="s">
        <v>94</v>
      </c>
      <c r="D306" s="61"/>
      <c r="E306" s="62">
        <v>0</v>
      </c>
      <c r="F306" s="62">
        <v>-14247</v>
      </c>
      <c r="G306" s="10"/>
      <c r="H306" s="1"/>
      <c r="I306" s="30"/>
      <c r="J306" s="30"/>
    </row>
    <row r="307" spans="1:10" ht="15" x14ac:dyDescent="0.2">
      <c r="A307" s="1"/>
      <c r="B307" s="1"/>
      <c r="C307" s="1" t="s">
        <v>96</v>
      </c>
      <c r="D307" s="61"/>
      <c r="E307" s="62">
        <v>0</v>
      </c>
      <c r="F307" s="62">
        <v>-2000</v>
      </c>
      <c r="G307" s="10"/>
      <c r="H307" s="1"/>
      <c r="I307" s="30"/>
      <c r="J307" s="30"/>
    </row>
    <row r="308" spans="1:10" ht="15" x14ac:dyDescent="0.2">
      <c r="A308" s="1"/>
      <c r="B308" s="1"/>
      <c r="C308" s="1" t="s">
        <v>451</v>
      </c>
      <c r="D308" s="61"/>
      <c r="E308" s="62">
        <v>0</v>
      </c>
      <c r="F308" s="62">
        <v>-3000</v>
      </c>
      <c r="G308" s="10"/>
      <c r="H308" s="1"/>
      <c r="I308" s="30"/>
      <c r="J308" s="30"/>
    </row>
    <row r="309" spans="1:10" ht="15" x14ac:dyDescent="0.2">
      <c r="A309" s="1"/>
      <c r="B309" s="1"/>
      <c r="C309" s="25"/>
      <c r="D309" s="1"/>
      <c r="E309" s="25"/>
      <c r="F309" s="25"/>
      <c r="G309" s="25"/>
      <c r="H309" s="1"/>
      <c r="I309" s="30"/>
      <c r="J309" s="30"/>
    </row>
    <row r="310" spans="1:10" ht="15" x14ac:dyDescent="0.2">
      <c r="A310" s="1"/>
      <c r="B310" s="1"/>
      <c r="C310" s="25" t="s">
        <v>80</v>
      </c>
      <c r="D310" s="1"/>
      <c r="E310" s="10">
        <f t="shared" ref="E310:F310" si="33">SUM(E305:E308)</f>
        <v>0</v>
      </c>
      <c r="F310" s="10">
        <f t="shared" si="33"/>
        <v>-21247</v>
      </c>
      <c r="G310" s="10">
        <f>E310+F310</f>
        <v>-21247</v>
      </c>
      <c r="H310" s="1"/>
      <c r="I310" s="30"/>
      <c r="J310" s="30"/>
    </row>
    <row r="311" spans="1:10" ht="15" x14ac:dyDescent="0.2">
      <c r="A311" s="1"/>
      <c r="B311" s="1"/>
      <c r="C311" s="25"/>
      <c r="D311" s="1"/>
      <c r="E311" s="25"/>
      <c r="F311" s="25"/>
      <c r="G311" s="25"/>
      <c r="H311" s="1"/>
      <c r="I311" s="30"/>
      <c r="J311" s="30"/>
    </row>
    <row r="312" spans="1:10" ht="15" x14ac:dyDescent="0.2">
      <c r="A312" s="1"/>
      <c r="B312" s="25" t="s">
        <v>477</v>
      </c>
      <c r="C312" s="1"/>
      <c r="D312" s="1"/>
      <c r="E312" s="34"/>
      <c r="F312" s="34"/>
      <c r="G312" s="10"/>
      <c r="H312" s="1"/>
      <c r="I312" s="30"/>
      <c r="J312" s="30"/>
    </row>
    <row r="313" spans="1:10" ht="15" x14ac:dyDescent="0.2">
      <c r="A313" s="1"/>
      <c r="B313" s="1"/>
      <c r="C313" s="1" t="s">
        <v>88</v>
      </c>
      <c r="D313" s="61"/>
      <c r="E313" s="62">
        <v>7000</v>
      </c>
      <c r="F313" s="62">
        <v>0</v>
      </c>
      <c r="G313" s="10"/>
      <c r="H313" s="1"/>
      <c r="I313" s="30"/>
      <c r="J313" s="30"/>
    </row>
    <row r="314" spans="1:10" ht="15" x14ac:dyDescent="0.2">
      <c r="A314" s="1"/>
      <c r="B314" s="1"/>
      <c r="C314" s="1" t="s">
        <v>151</v>
      </c>
      <c r="D314" s="61"/>
      <c r="E314" s="62">
        <v>0</v>
      </c>
      <c r="F314" s="62">
        <v>-16000</v>
      </c>
      <c r="G314" s="10"/>
      <c r="H314" s="1"/>
      <c r="I314" s="30"/>
      <c r="J314" s="30"/>
    </row>
    <row r="315" spans="1:10" ht="15" x14ac:dyDescent="0.2">
      <c r="A315" s="1"/>
      <c r="B315" s="1"/>
      <c r="C315" s="1" t="s">
        <v>94</v>
      </c>
      <c r="D315" s="61"/>
      <c r="E315" s="62">
        <v>0</v>
      </c>
      <c r="F315" s="62">
        <v>-4253</v>
      </c>
      <c r="G315" s="10"/>
      <c r="H315" s="1"/>
      <c r="I315" s="30"/>
      <c r="J315" s="30"/>
    </row>
    <row r="316" spans="1:10" ht="15" x14ac:dyDescent="0.2">
      <c r="A316" s="1"/>
      <c r="B316" s="1"/>
      <c r="C316" s="1" t="s">
        <v>98</v>
      </c>
      <c r="D316" s="61"/>
      <c r="E316" s="62">
        <v>0</v>
      </c>
      <c r="F316" s="62">
        <v>-200</v>
      </c>
      <c r="G316" s="10"/>
      <c r="H316" s="1"/>
      <c r="I316" s="30"/>
      <c r="J316" s="30"/>
    </row>
    <row r="317" spans="1:10" ht="15" x14ac:dyDescent="0.2">
      <c r="A317" s="1"/>
      <c r="B317" s="1"/>
      <c r="C317" s="1" t="s">
        <v>302</v>
      </c>
      <c r="D317" s="61"/>
      <c r="E317" s="62">
        <v>0</v>
      </c>
      <c r="F317" s="62">
        <v>-600</v>
      </c>
      <c r="G317" s="25"/>
      <c r="H317" s="1"/>
      <c r="I317" s="30"/>
      <c r="J317" s="30"/>
    </row>
    <row r="318" spans="1:10" ht="15" x14ac:dyDescent="0.2">
      <c r="A318" s="1"/>
      <c r="B318" s="1"/>
      <c r="C318" s="25"/>
      <c r="D318" s="1"/>
      <c r="E318" s="25"/>
      <c r="F318" s="25"/>
      <c r="G318" s="25"/>
      <c r="H318" s="1"/>
      <c r="I318" s="30"/>
      <c r="J318" s="30"/>
    </row>
    <row r="319" spans="1:10" ht="15" x14ac:dyDescent="0.2">
      <c r="A319" s="1"/>
      <c r="B319" s="1"/>
      <c r="C319" s="25" t="s">
        <v>80</v>
      </c>
      <c r="D319" s="1"/>
      <c r="E319" s="10">
        <f t="shared" ref="E319:F319" si="34">SUM(E313:E317)</f>
        <v>7000</v>
      </c>
      <c r="F319" s="10">
        <f t="shared" si="34"/>
        <v>-21053</v>
      </c>
      <c r="G319" s="10">
        <f>E319+F319</f>
        <v>-14053</v>
      </c>
      <c r="H319" s="1"/>
      <c r="I319" s="30"/>
      <c r="J319" s="30"/>
    </row>
    <row r="320" spans="1:10" ht="15" x14ac:dyDescent="0.2">
      <c r="A320" s="1"/>
      <c r="B320" s="1"/>
      <c r="C320" s="25"/>
      <c r="D320" s="1"/>
      <c r="E320" s="25"/>
      <c r="F320" s="25"/>
      <c r="G320" s="25"/>
      <c r="H320" s="1"/>
      <c r="I320" s="30"/>
      <c r="J320" s="30"/>
    </row>
    <row r="321" spans="1:10" ht="15" x14ac:dyDescent="0.2">
      <c r="A321" s="1"/>
      <c r="B321" s="25" t="s">
        <v>478</v>
      </c>
      <c r="C321" s="1"/>
      <c r="D321" s="1"/>
      <c r="E321" s="34"/>
      <c r="F321" s="34"/>
      <c r="G321" s="10"/>
      <c r="H321" s="1"/>
      <c r="I321" s="30"/>
      <c r="J321" s="30"/>
    </row>
    <row r="322" spans="1:10" ht="15" x14ac:dyDescent="0.2">
      <c r="A322" s="1"/>
      <c r="B322" s="1"/>
      <c r="C322" s="1" t="s">
        <v>476</v>
      </c>
      <c r="D322" s="61"/>
      <c r="E322" s="62">
        <v>0</v>
      </c>
      <c r="F322" s="62">
        <v>-2033</v>
      </c>
      <c r="G322" s="10"/>
      <c r="H322" s="1"/>
      <c r="I322" s="30"/>
      <c r="J322" s="30"/>
    </row>
    <row r="323" spans="1:10" ht="15" x14ac:dyDescent="0.2">
      <c r="A323" s="1"/>
      <c r="B323" s="1"/>
      <c r="C323" s="1" t="s">
        <v>444</v>
      </c>
      <c r="D323" s="61"/>
      <c r="E323" s="62">
        <v>0</v>
      </c>
      <c r="F323" s="62">
        <v>-2000</v>
      </c>
      <c r="G323" s="10"/>
      <c r="H323" s="1"/>
      <c r="I323" s="30"/>
      <c r="J323" s="30"/>
    </row>
    <row r="324" spans="1:10" ht="15" x14ac:dyDescent="0.2">
      <c r="A324" s="1"/>
      <c r="B324" s="1"/>
      <c r="C324" s="1" t="s">
        <v>479</v>
      </c>
      <c r="D324" s="61"/>
      <c r="E324" s="62">
        <v>2000</v>
      </c>
      <c r="F324" s="62">
        <v>0</v>
      </c>
      <c r="G324" s="10"/>
      <c r="H324" s="1"/>
      <c r="I324" s="30"/>
      <c r="J324" s="30"/>
    </row>
    <row r="325" spans="1:10" ht="15" x14ac:dyDescent="0.2">
      <c r="A325" s="1"/>
      <c r="B325" s="1"/>
      <c r="C325" s="1" t="s">
        <v>480</v>
      </c>
      <c r="D325" s="61"/>
      <c r="E325" s="62">
        <v>0</v>
      </c>
      <c r="F325" s="62">
        <v>-5967</v>
      </c>
      <c r="G325" s="10"/>
      <c r="H325" s="1"/>
      <c r="I325" s="30"/>
      <c r="J325" s="30"/>
    </row>
    <row r="326" spans="1:10" ht="15" x14ac:dyDescent="0.2">
      <c r="A326" s="1"/>
      <c r="B326" s="1"/>
      <c r="C326" s="1" t="s">
        <v>366</v>
      </c>
      <c r="D326" s="61"/>
      <c r="E326" s="62">
        <v>0</v>
      </c>
      <c r="F326" s="62">
        <v>-2800</v>
      </c>
      <c r="G326" s="25"/>
      <c r="H326" s="1"/>
      <c r="I326" s="30"/>
      <c r="J326" s="30"/>
    </row>
    <row r="327" spans="1:10" ht="15" x14ac:dyDescent="0.2">
      <c r="A327" s="1"/>
      <c r="B327" s="1"/>
      <c r="C327" s="1" t="s">
        <v>451</v>
      </c>
      <c r="D327" s="61"/>
      <c r="E327" s="62">
        <v>0</v>
      </c>
      <c r="F327" s="62">
        <v>-500</v>
      </c>
      <c r="G327" s="25"/>
      <c r="H327" s="1"/>
      <c r="I327" s="30"/>
      <c r="J327" s="30"/>
    </row>
    <row r="328" spans="1:10" ht="15" x14ac:dyDescent="0.2">
      <c r="A328" s="1"/>
      <c r="B328" s="1"/>
      <c r="C328" s="1" t="s">
        <v>105</v>
      </c>
      <c r="D328" s="61"/>
      <c r="E328" s="62">
        <v>0</v>
      </c>
      <c r="F328" s="62">
        <v>-6000</v>
      </c>
      <c r="G328" s="25"/>
      <c r="H328" s="1"/>
      <c r="I328" s="30"/>
      <c r="J328" s="30"/>
    </row>
    <row r="329" spans="1:10" ht="15" x14ac:dyDescent="0.2">
      <c r="A329" s="1"/>
      <c r="B329" s="1"/>
      <c r="C329" s="25"/>
      <c r="D329" s="1"/>
      <c r="E329" s="25"/>
      <c r="F329" s="25"/>
      <c r="G329" s="25"/>
      <c r="H329" s="1"/>
      <c r="I329" s="30"/>
      <c r="J329" s="30"/>
    </row>
    <row r="330" spans="1:10" ht="15" x14ac:dyDescent="0.2">
      <c r="A330" s="1"/>
      <c r="B330" s="1"/>
      <c r="C330" s="25" t="s">
        <v>80</v>
      </c>
      <c r="D330" s="1"/>
      <c r="E330" s="10">
        <f t="shared" ref="E330:F330" si="35">SUM(E322:E328)</f>
        <v>2000</v>
      </c>
      <c r="F330" s="10">
        <f t="shared" si="35"/>
        <v>-19300</v>
      </c>
      <c r="G330" s="10">
        <f>E330+F330</f>
        <v>-17300</v>
      </c>
      <c r="H330" s="1"/>
      <c r="I330" s="30"/>
      <c r="J330" s="30"/>
    </row>
    <row r="331" spans="1:10" ht="15" x14ac:dyDescent="0.2">
      <c r="A331" s="1"/>
      <c r="B331" s="1"/>
      <c r="C331" s="25"/>
      <c r="D331" s="1"/>
      <c r="E331" s="25"/>
      <c r="F331" s="25"/>
      <c r="G331" s="25"/>
      <c r="H331" s="1"/>
      <c r="I331" s="30"/>
      <c r="J331" s="30"/>
    </row>
    <row r="332" spans="1:10" ht="15" x14ac:dyDescent="0.2">
      <c r="A332" s="1"/>
      <c r="B332" s="25" t="s">
        <v>481</v>
      </c>
      <c r="C332" s="1"/>
      <c r="D332" s="1"/>
      <c r="E332" s="34"/>
      <c r="F332" s="34"/>
      <c r="G332" s="10"/>
      <c r="H332" s="1"/>
      <c r="I332" s="30"/>
      <c r="J332" s="30"/>
    </row>
    <row r="333" spans="1:10" ht="15" x14ac:dyDescent="0.2">
      <c r="A333" s="1"/>
      <c r="B333" s="1"/>
      <c r="C333" s="1" t="s">
        <v>96</v>
      </c>
      <c r="D333" s="61"/>
      <c r="E333" s="62">
        <v>0</v>
      </c>
      <c r="F333" s="62">
        <v>-3200</v>
      </c>
      <c r="G333" s="10"/>
      <c r="H333" s="1"/>
      <c r="I333" s="30"/>
      <c r="J333" s="30"/>
    </row>
    <row r="334" spans="1:10" ht="15" x14ac:dyDescent="0.2">
      <c r="A334" s="1"/>
      <c r="B334" s="1"/>
      <c r="C334" s="1" t="s">
        <v>482</v>
      </c>
      <c r="D334" s="61"/>
      <c r="E334" s="62">
        <v>0</v>
      </c>
      <c r="F334" s="62">
        <v>-2000</v>
      </c>
      <c r="G334" s="10"/>
      <c r="H334" s="1"/>
      <c r="I334" s="30"/>
      <c r="J334" s="30"/>
    </row>
    <row r="335" spans="1:10" ht="15" x14ac:dyDescent="0.2">
      <c r="A335" s="1"/>
      <c r="B335" s="1"/>
      <c r="C335" s="1" t="s">
        <v>271</v>
      </c>
      <c r="D335" s="61"/>
      <c r="E335" s="62">
        <v>0</v>
      </c>
      <c r="F335" s="62">
        <v>-1000</v>
      </c>
      <c r="G335" s="10"/>
      <c r="H335" s="1"/>
      <c r="I335" s="30"/>
      <c r="J335" s="30"/>
    </row>
    <row r="336" spans="1:10" ht="15" x14ac:dyDescent="0.2">
      <c r="A336" s="1"/>
      <c r="B336" s="1"/>
      <c r="C336" s="1" t="s">
        <v>83</v>
      </c>
      <c r="D336" s="61"/>
      <c r="E336" s="62">
        <v>0</v>
      </c>
      <c r="F336" s="62">
        <v>-2000</v>
      </c>
      <c r="G336" s="10"/>
      <c r="H336" s="1"/>
      <c r="I336" s="30"/>
      <c r="J336" s="30"/>
    </row>
    <row r="337" spans="1:10" ht="15" x14ac:dyDescent="0.2">
      <c r="A337" s="1"/>
      <c r="B337" s="1"/>
      <c r="C337" s="25"/>
      <c r="D337" s="1"/>
      <c r="E337" s="25"/>
      <c r="F337" s="25"/>
      <c r="G337" s="25"/>
      <c r="H337" s="1"/>
      <c r="I337" s="30"/>
      <c r="J337" s="30"/>
    </row>
    <row r="338" spans="1:10" ht="15" x14ac:dyDescent="0.2">
      <c r="A338" s="1"/>
      <c r="B338" s="1"/>
      <c r="C338" s="25" t="s">
        <v>80</v>
      </c>
      <c r="D338" s="1"/>
      <c r="E338" s="10">
        <f t="shared" ref="E338:F338" si="36">SUM(E333:E336)</f>
        <v>0</v>
      </c>
      <c r="F338" s="10">
        <f t="shared" si="36"/>
        <v>-8200</v>
      </c>
      <c r="G338" s="10">
        <f>E338+F338</f>
        <v>-8200</v>
      </c>
      <c r="H338" s="1"/>
      <c r="I338" s="30"/>
      <c r="J338" s="30"/>
    </row>
    <row r="339" spans="1:10" ht="15" x14ac:dyDescent="0.2">
      <c r="A339" s="1"/>
      <c r="B339" s="1"/>
      <c r="C339" s="25"/>
      <c r="D339" s="1"/>
      <c r="E339" s="25"/>
      <c r="F339" s="25"/>
      <c r="G339" s="25"/>
      <c r="H339" s="1"/>
      <c r="I339" s="30"/>
      <c r="J339" s="30"/>
    </row>
    <row r="340" spans="1:10" ht="15" x14ac:dyDescent="0.2">
      <c r="A340" s="1"/>
      <c r="B340" s="25" t="s">
        <v>483</v>
      </c>
      <c r="C340" s="1"/>
      <c r="D340" s="1"/>
      <c r="E340" s="34"/>
      <c r="F340" s="34"/>
      <c r="G340" s="10"/>
      <c r="H340" s="1"/>
      <c r="I340" s="30"/>
      <c r="J340" s="30"/>
    </row>
    <row r="341" spans="1:10" ht="15" x14ac:dyDescent="0.2">
      <c r="A341" s="1"/>
      <c r="B341" s="1"/>
      <c r="C341" s="1" t="s">
        <v>484</v>
      </c>
      <c r="D341" s="61"/>
      <c r="E341" s="62">
        <v>3000</v>
      </c>
      <c r="F341" s="62">
        <v>0</v>
      </c>
      <c r="G341" s="10"/>
      <c r="H341" s="1"/>
      <c r="I341" s="30"/>
      <c r="J341" s="30"/>
    </row>
    <row r="342" spans="1:10" ht="15" x14ac:dyDescent="0.2">
      <c r="A342" s="1"/>
      <c r="B342" s="1"/>
      <c r="C342" s="1" t="s">
        <v>151</v>
      </c>
      <c r="D342" s="61"/>
      <c r="E342" s="62">
        <v>0</v>
      </c>
      <c r="F342" s="62">
        <v>-10000</v>
      </c>
      <c r="G342" s="10"/>
      <c r="H342" s="1"/>
      <c r="I342" s="30"/>
      <c r="J342" s="30"/>
    </row>
    <row r="343" spans="1:10" ht="15" x14ac:dyDescent="0.2">
      <c r="A343" s="1"/>
      <c r="B343" s="1"/>
      <c r="C343" s="25"/>
      <c r="D343" s="1"/>
      <c r="E343" s="25"/>
      <c r="F343" s="25"/>
      <c r="G343" s="25"/>
      <c r="H343" s="1"/>
      <c r="I343" s="30"/>
      <c r="J343" s="30"/>
    </row>
    <row r="344" spans="1:10" ht="15" x14ac:dyDescent="0.2">
      <c r="A344" s="1"/>
      <c r="B344" s="1"/>
      <c r="C344" s="25" t="s">
        <v>80</v>
      </c>
      <c r="D344" s="1"/>
      <c r="E344" s="10">
        <f t="shared" ref="E344:F344" si="37">SUM(E341:E342)</f>
        <v>3000</v>
      </c>
      <c r="F344" s="10">
        <f t="shared" si="37"/>
        <v>-10000</v>
      </c>
      <c r="G344" s="10">
        <f>E344+F344</f>
        <v>-7000</v>
      </c>
      <c r="H344" s="1"/>
      <c r="I344" s="30"/>
      <c r="J344" s="30"/>
    </row>
    <row r="345" spans="1:10" ht="15" x14ac:dyDescent="0.2">
      <c r="A345" s="1"/>
      <c r="B345" s="1"/>
      <c r="C345" s="25"/>
      <c r="D345" s="1"/>
      <c r="E345" s="25"/>
      <c r="F345" s="25"/>
      <c r="G345" s="25"/>
      <c r="H345" s="1"/>
      <c r="I345" s="30"/>
      <c r="J345" s="30"/>
    </row>
    <row r="346" spans="1:10" ht="15" x14ac:dyDescent="0.2">
      <c r="A346" s="1"/>
      <c r="B346" s="25" t="s">
        <v>485</v>
      </c>
      <c r="C346" s="1"/>
      <c r="D346" s="1"/>
      <c r="E346" s="34"/>
      <c r="F346" s="34"/>
      <c r="G346" s="10"/>
      <c r="H346" s="1"/>
      <c r="I346" s="30"/>
      <c r="J346" s="30"/>
    </row>
    <row r="347" spans="1:10" ht="15" x14ac:dyDescent="0.2">
      <c r="A347" s="1"/>
      <c r="B347" s="1"/>
      <c r="C347" s="1" t="s">
        <v>88</v>
      </c>
      <c r="D347" s="61"/>
      <c r="E347" s="62">
        <v>9500</v>
      </c>
      <c r="F347" s="62">
        <v>0</v>
      </c>
      <c r="G347" s="10"/>
      <c r="H347" s="1"/>
      <c r="I347" s="30"/>
      <c r="J347" s="30"/>
    </row>
    <row r="348" spans="1:10" ht="15" x14ac:dyDescent="0.2">
      <c r="A348" s="1"/>
      <c r="B348" s="1"/>
      <c r="C348" s="1" t="s">
        <v>94</v>
      </c>
      <c r="D348" s="61"/>
      <c r="E348" s="62">
        <v>0</v>
      </c>
      <c r="F348" s="62">
        <v>-3710</v>
      </c>
      <c r="G348" s="10"/>
      <c r="H348" s="1"/>
      <c r="I348" s="30"/>
      <c r="J348" s="30"/>
    </row>
    <row r="349" spans="1:10" ht="15" x14ac:dyDescent="0.2">
      <c r="A349" s="1"/>
      <c r="B349" s="1"/>
      <c r="C349" s="1" t="s">
        <v>96</v>
      </c>
      <c r="D349" s="61"/>
      <c r="E349" s="62">
        <v>0</v>
      </c>
      <c r="F349" s="62">
        <v>-1000</v>
      </c>
      <c r="G349" s="10"/>
      <c r="H349" s="1"/>
      <c r="I349" s="30"/>
      <c r="J349" s="30"/>
    </row>
    <row r="350" spans="1:10" ht="15" x14ac:dyDescent="0.2">
      <c r="A350" s="1"/>
      <c r="B350" s="1"/>
      <c r="C350" s="1" t="s">
        <v>460</v>
      </c>
      <c r="D350" s="61"/>
      <c r="E350" s="62">
        <v>0</v>
      </c>
      <c r="F350" s="62">
        <v>-3000</v>
      </c>
      <c r="G350" s="10"/>
      <c r="H350" s="1"/>
      <c r="I350" s="30"/>
      <c r="J350" s="30"/>
    </row>
    <row r="351" spans="1:10" ht="15" x14ac:dyDescent="0.2">
      <c r="A351" s="1"/>
      <c r="B351" s="1"/>
      <c r="C351" s="1" t="s">
        <v>98</v>
      </c>
      <c r="D351" s="61"/>
      <c r="E351" s="62">
        <v>0</v>
      </c>
      <c r="F351" s="62">
        <v>-1000</v>
      </c>
      <c r="G351" s="25"/>
      <c r="H351" s="1"/>
      <c r="I351" s="30"/>
      <c r="J351" s="30"/>
    </row>
    <row r="352" spans="1:10" ht="15" x14ac:dyDescent="0.2">
      <c r="A352" s="1"/>
      <c r="B352" s="1"/>
      <c r="C352" s="1" t="s">
        <v>175</v>
      </c>
      <c r="D352" s="61"/>
      <c r="E352" s="62">
        <v>0</v>
      </c>
      <c r="F352" s="62">
        <v>-790</v>
      </c>
      <c r="G352" s="10"/>
      <c r="H352" s="1"/>
      <c r="I352" s="30"/>
      <c r="J352" s="30"/>
    </row>
    <row r="353" spans="1:10" ht="15" x14ac:dyDescent="0.2">
      <c r="A353" s="1"/>
      <c r="B353" s="1"/>
      <c r="C353" s="1" t="s">
        <v>486</v>
      </c>
      <c r="D353" s="61"/>
      <c r="E353" s="62">
        <v>0</v>
      </c>
      <c r="F353" s="62">
        <v>-2900</v>
      </c>
      <c r="G353" s="25"/>
      <c r="H353" s="1"/>
      <c r="I353" s="30"/>
      <c r="J353" s="30"/>
    </row>
    <row r="354" spans="1:10" ht="15" x14ac:dyDescent="0.2">
      <c r="A354" s="1"/>
      <c r="B354" s="1"/>
      <c r="C354" s="25"/>
      <c r="D354" s="1"/>
      <c r="E354" s="25"/>
      <c r="F354" s="25"/>
      <c r="G354" s="25"/>
      <c r="H354" s="1"/>
      <c r="I354" s="30"/>
      <c r="J354" s="30"/>
    </row>
    <row r="355" spans="1:10" ht="15" x14ac:dyDescent="0.2">
      <c r="A355" s="1"/>
      <c r="B355" s="1"/>
      <c r="C355" s="25" t="s">
        <v>80</v>
      </c>
      <c r="D355" s="1"/>
      <c r="E355" s="10">
        <f t="shared" ref="E355:F355" si="38">SUM(E347:E353)</f>
        <v>9500</v>
      </c>
      <c r="F355" s="10">
        <f t="shared" si="38"/>
        <v>-12400</v>
      </c>
      <c r="G355" s="10">
        <f>E355+F355</f>
        <v>-2900</v>
      </c>
      <c r="H355" s="1"/>
      <c r="I355" s="30"/>
      <c r="J355" s="30"/>
    </row>
    <row r="356" spans="1:10" ht="15" x14ac:dyDescent="0.2">
      <c r="A356" s="1"/>
      <c r="B356" s="1"/>
      <c r="C356" s="25"/>
      <c r="D356" s="1"/>
      <c r="E356" s="25"/>
      <c r="F356" s="25"/>
      <c r="G356" s="25"/>
      <c r="H356" s="1"/>
      <c r="I356" s="30"/>
      <c r="J356" s="30"/>
    </row>
    <row r="357" spans="1:10" ht="15" x14ac:dyDescent="0.2">
      <c r="A357" s="1"/>
      <c r="B357" s="25" t="s">
        <v>487</v>
      </c>
      <c r="C357" s="1"/>
      <c r="D357" s="1"/>
      <c r="E357" s="34"/>
      <c r="F357" s="34"/>
      <c r="G357" s="10"/>
      <c r="H357" s="1"/>
      <c r="I357" s="30"/>
      <c r="J357" s="30"/>
    </row>
    <row r="358" spans="1:10" ht="15" x14ac:dyDescent="0.2">
      <c r="A358" s="1"/>
      <c r="B358" s="1"/>
      <c r="C358" s="1" t="s">
        <v>88</v>
      </c>
      <c r="D358" s="61"/>
      <c r="E358" s="62">
        <v>15000</v>
      </c>
      <c r="F358" s="62">
        <v>0</v>
      </c>
      <c r="G358" s="10"/>
      <c r="H358" s="1"/>
      <c r="I358" s="30"/>
      <c r="J358" s="30"/>
    </row>
    <row r="359" spans="1:10" ht="15" x14ac:dyDescent="0.2">
      <c r="A359" s="1"/>
      <c r="B359" s="1"/>
      <c r="C359" s="1" t="s">
        <v>486</v>
      </c>
      <c r="D359" s="61"/>
      <c r="E359" s="62">
        <v>0</v>
      </c>
      <c r="F359" s="62">
        <v>-5000</v>
      </c>
      <c r="G359" s="10"/>
      <c r="H359" s="1"/>
      <c r="I359" s="30"/>
      <c r="J359" s="30"/>
    </row>
    <row r="360" spans="1:10" ht="15" x14ac:dyDescent="0.2">
      <c r="A360" s="1"/>
      <c r="B360" s="1"/>
      <c r="C360" s="1" t="s">
        <v>94</v>
      </c>
      <c r="D360" s="61"/>
      <c r="E360" s="62">
        <v>0</v>
      </c>
      <c r="F360" s="62">
        <v>-7700</v>
      </c>
      <c r="G360" s="10"/>
      <c r="H360" s="1"/>
      <c r="I360" s="30"/>
      <c r="J360" s="30"/>
    </row>
    <row r="361" spans="1:10" ht="15" x14ac:dyDescent="0.2">
      <c r="A361" s="1"/>
      <c r="B361" s="1"/>
      <c r="C361" s="1" t="s">
        <v>98</v>
      </c>
      <c r="D361" s="61"/>
      <c r="E361" s="62">
        <v>0</v>
      </c>
      <c r="F361" s="62">
        <v>-1320</v>
      </c>
      <c r="G361" s="10"/>
      <c r="H361" s="1"/>
      <c r="I361" s="30"/>
      <c r="J361" s="30"/>
    </row>
    <row r="362" spans="1:10" ht="15" x14ac:dyDescent="0.2">
      <c r="A362" s="1"/>
      <c r="B362" s="1"/>
      <c r="C362" s="1" t="s">
        <v>96</v>
      </c>
      <c r="D362" s="61"/>
      <c r="E362" s="62">
        <v>0</v>
      </c>
      <c r="F362" s="62">
        <v>0</v>
      </c>
      <c r="G362" s="25"/>
      <c r="H362" s="1"/>
      <c r="I362" s="30"/>
      <c r="J362" s="30"/>
    </row>
    <row r="363" spans="1:10" ht="15" x14ac:dyDescent="0.2">
      <c r="A363" s="1"/>
      <c r="B363" s="1"/>
      <c r="C363" s="25"/>
      <c r="D363" s="1"/>
      <c r="E363" s="25"/>
      <c r="F363" s="25"/>
      <c r="G363" s="25"/>
      <c r="H363" s="1"/>
      <c r="I363" s="30"/>
      <c r="J363" s="30"/>
    </row>
    <row r="364" spans="1:10" ht="15" x14ac:dyDescent="0.2">
      <c r="A364" s="1"/>
      <c r="B364" s="1"/>
      <c r="C364" s="25" t="s">
        <v>80</v>
      </c>
      <c r="D364" s="1"/>
      <c r="E364" s="10">
        <f t="shared" ref="E364:F364" si="39">SUM(E358:E362)</f>
        <v>15000</v>
      </c>
      <c r="F364" s="10">
        <f t="shared" si="39"/>
        <v>-14020</v>
      </c>
      <c r="G364" s="10">
        <f>E364+F364</f>
        <v>980</v>
      </c>
      <c r="H364" s="1"/>
      <c r="I364" s="30"/>
      <c r="J364" s="30"/>
    </row>
    <row r="365" spans="1:10" ht="15" x14ac:dyDescent="0.2">
      <c r="A365" s="1"/>
      <c r="B365" s="1"/>
      <c r="C365" s="25"/>
      <c r="D365" s="1"/>
      <c r="E365" s="25"/>
      <c r="F365" s="25"/>
      <c r="G365" s="25"/>
      <c r="H365" s="1"/>
      <c r="I365" s="30"/>
      <c r="J365" s="30"/>
    </row>
    <row r="366" spans="1:10" ht="15" x14ac:dyDescent="0.2">
      <c r="A366" s="1"/>
      <c r="B366" s="25" t="s">
        <v>488</v>
      </c>
      <c r="C366" s="1"/>
      <c r="D366" s="1"/>
      <c r="E366" s="34"/>
      <c r="F366" s="34"/>
      <c r="G366" s="10"/>
      <c r="H366" s="1"/>
      <c r="I366" s="30"/>
      <c r="J366" s="30"/>
    </row>
    <row r="367" spans="1:10" ht="15" x14ac:dyDescent="0.2">
      <c r="A367" s="1"/>
      <c r="B367" s="1"/>
      <c r="C367" s="1" t="s">
        <v>489</v>
      </c>
      <c r="D367" s="61"/>
      <c r="E367" s="62">
        <v>0</v>
      </c>
      <c r="F367" s="62">
        <v>-2000</v>
      </c>
      <c r="G367" s="10"/>
      <c r="H367" s="1"/>
      <c r="I367" s="30"/>
      <c r="J367" s="30"/>
    </row>
    <row r="368" spans="1:10" ht="15" x14ac:dyDescent="0.2">
      <c r="A368" s="1"/>
      <c r="B368" s="1"/>
      <c r="C368" s="1" t="s">
        <v>490</v>
      </c>
      <c r="D368" s="61"/>
      <c r="E368" s="62">
        <v>2000</v>
      </c>
      <c r="F368" s="62">
        <v>0</v>
      </c>
      <c r="G368" s="10"/>
      <c r="H368" s="1"/>
      <c r="I368" s="30"/>
      <c r="J368" s="30"/>
    </row>
    <row r="369" spans="1:10" ht="15" x14ac:dyDescent="0.2">
      <c r="A369" s="1"/>
      <c r="B369" s="1"/>
      <c r="C369" s="25"/>
      <c r="D369" s="1"/>
      <c r="E369" s="25"/>
      <c r="F369" s="25"/>
      <c r="G369" s="25"/>
      <c r="H369" s="1"/>
      <c r="I369" s="30"/>
      <c r="J369" s="30"/>
    </row>
    <row r="370" spans="1:10" ht="15" x14ac:dyDescent="0.2">
      <c r="A370" s="1"/>
      <c r="B370" s="1"/>
      <c r="C370" s="25" t="s">
        <v>80</v>
      </c>
      <c r="D370" s="1"/>
      <c r="E370" s="10">
        <f t="shared" ref="E370:F370" si="40">SUM(E367:E368)</f>
        <v>2000</v>
      </c>
      <c r="F370" s="10">
        <f t="shared" si="40"/>
        <v>-2000</v>
      </c>
      <c r="G370" s="10">
        <f>E370+F370</f>
        <v>0</v>
      </c>
      <c r="H370" s="1"/>
      <c r="I370" s="30"/>
      <c r="J370" s="30"/>
    </row>
    <row r="371" spans="1:10" ht="15" x14ac:dyDescent="0.2">
      <c r="A371" s="1"/>
      <c r="B371" s="1"/>
      <c r="C371" s="25"/>
      <c r="D371" s="1"/>
      <c r="E371" s="25"/>
      <c r="F371" s="25"/>
      <c r="G371" s="25"/>
      <c r="H371" s="1"/>
      <c r="I371" s="30"/>
      <c r="J371" s="30"/>
    </row>
    <row r="372" spans="1:10" ht="15" x14ac:dyDescent="0.2">
      <c r="A372" s="1"/>
      <c r="B372" s="25" t="s">
        <v>491</v>
      </c>
      <c r="C372" s="1"/>
      <c r="D372" s="1"/>
      <c r="E372" s="34"/>
      <c r="F372" s="34"/>
      <c r="G372" s="10"/>
      <c r="H372" s="1"/>
      <c r="I372" s="30"/>
      <c r="J372" s="30"/>
    </row>
    <row r="373" spans="1:10" ht="15" x14ac:dyDescent="0.2">
      <c r="A373" s="1"/>
      <c r="B373" s="1"/>
      <c r="C373" s="1" t="s">
        <v>88</v>
      </c>
      <c r="D373" s="61"/>
      <c r="E373" s="62">
        <v>9900</v>
      </c>
      <c r="F373" s="62">
        <v>0</v>
      </c>
      <c r="G373" s="10"/>
      <c r="H373" s="1"/>
      <c r="I373" s="30"/>
      <c r="J373" s="30"/>
    </row>
    <row r="374" spans="1:10" ht="15" x14ac:dyDescent="0.2">
      <c r="A374" s="1"/>
      <c r="B374" s="1"/>
      <c r="C374" s="1" t="s">
        <v>94</v>
      </c>
      <c r="D374" s="61"/>
      <c r="E374" s="62">
        <v>0</v>
      </c>
      <c r="F374" s="62">
        <v>-4800</v>
      </c>
      <c r="G374" s="10"/>
      <c r="H374" s="1"/>
      <c r="I374" s="30"/>
      <c r="J374" s="30"/>
    </row>
    <row r="375" spans="1:10" ht="15" x14ac:dyDescent="0.2">
      <c r="A375" s="1"/>
      <c r="B375" s="1"/>
      <c r="C375" s="1" t="s">
        <v>486</v>
      </c>
      <c r="D375" s="61"/>
      <c r="E375" s="62">
        <v>0</v>
      </c>
      <c r="F375" s="62">
        <v>-3280</v>
      </c>
      <c r="G375" s="10"/>
      <c r="H375" s="1"/>
      <c r="I375" s="30"/>
      <c r="J375" s="30"/>
    </row>
    <row r="376" spans="1:10" ht="15" x14ac:dyDescent="0.2">
      <c r="A376" s="1"/>
      <c r="B376" s="1"/>
      <c r="C376" s="1" t="s">
        <v>96</v>
      </c>
      <c r="D376" s="61"/>
      <c r="E376" s="62">
        <v>0</v>
      </c>
      <c r="F376" s="62">
        <v>-1000</v>
      </c>
      <c r="G376" s="10"/>
      <c r="H376" s="1"/>
      <c r="I376" s="30"/>
      <c r="J376" s="30"/>
    </row>
    <row r="377" spans="1:10" ht="15" x14ac:dyDescent="0.2">
      <c r="A377" s="1"/>
      <c r="B377" s="1"/>
      <c r="C377" s="1" t="s">
        <v>492</v>
      </c>
      <c r="D377" s="61"/>
      <c r="E377" s="62">
        <v>0</v>
      </c>
      <c r="F377" s="62">
        <v>-600</v>
      </c>
      <c r="G377" s="25"/>
      <c r="H377" s="1"/>
      <c r="I377" s="30"/>
      <c r="J377" s="30"/>
    </row>
    <row r="378" spans="1:10" ht="15" x14ac:dyDescent="0.2">
      <c r="A378" s="1"/>
      <c r="B378" s="1"/>
      <c r="C378" s="1" t="s">
        <v>151</v>
      </c>
      <c r="D378" s="61"/>
      <c r="E378" s="62">
        <v>0</v>
      </c>
      <c r="F378" s="62">
        <v>-3500</v>
      </c>
      <c r="G378" s="10"/>
      <c r="H378" s="1"/>
      <c r="I378" s="30"/>
      <c r="J378" s="30"/>
    </row>
    <row r="379" spans="1:10" ht="15" x14ac:dyDescent="0.2">
      <c r="A379" s="1"/>
      <c r="B379" s="1"/>
      <c r="C379" s="1" t="s">
        <v>99</v>
      </c>
      <c r="D379" s="61"/>
      <c r="E379" s="62">
        <v>0</v>
      </c>
      <c r="F379" s="62">
        <v>-2200</v>
      </c>
      <c r="G379" s="25"/>
      <c r="H379" s="1"/>
      <c r="I379" s="30"/>
      <c r="J379" s="30"/>
    </row>
    <row r="380" spans="1:10" ht="15" x14ac:dyDescent="0.2">
      <c r="A380" s="1"/>
      <c r="B380" s="1"/>
      <c r="C380" s="1" t="s">
        <v>175</v>
      </c>
      <c r="D380" s="61"/>
      <c r="E380" s="62">
        <v>0</v>
      </c>
      <c r="F380" s="62">
        <v>-400</v>
      </c>
      <c r="G380" s="10"/>
      <c r="H380" s="1"/>
      <c r="I380" s="30"/>
      <c r="J380" s="30"/>
    </row>
    <row r="381" spans="1:10" ht="15" x14ac:dyDescent="0.2">
      <c r="A381" s="1"/>
      <c r="B381" s="1"/>
      <c r="C381" s="1" t="s">
        <v>97</v>
      </c>
      <c r="D381" s="61"/>
      <c r="E381" s="62">
        <v>0</v>
      </c>
      <c r="F381" s="62">
        <v>-300</v>
      </c>
      <c r="G381" s="25"/>
      <c r="H381" s="1"/>
      <c r="I381" s="30"/>
      <c r="J381" s="30"/>
    </row>
    <row r="382" spans="1:10" ht="15" x14ac:dyDescent="0.2">
      <c r="A382" s="1"/>
      <c r="B382" s="1"/>
      <c r="C382" s="25"/>
      <c r="D382" s="1"/>
      <c r="E382" s="25"/>
      <c r="F382" s="25"/>
      <c r="G382" s="25"/>
      <c r="H382" s="1"/>
      <c r="I382" s="30"/>
      <c r="J382" s="30"/>
    </row>
    <row r="383" spans="1:10" ht="15" x14ac:dyDescent="0.2">
      <c r="A383" s="1"/>
      <c r="B383" s="1"/>
      <c r="C383" s="25" t="s">
        <v>80</v>
      </c>
      <c r="D383" s="1"/>
      <c r="E383" s="10">
        <f t="shared" ref="E383:F383" si="41">SUM(E373:E381)</f>
        <v>9900</v>
      </c>
      <c r="F383" s="10">
        <f t="shared" si="41"/>
        <v>-16080</v>
      </c>
      <c r="G383" s="10">
        <f>E383+F383</f>
        <v>-6180</v>
      </c>
      <c r="H383" s="1"/>
      <c r="I383" s="30"/>
      <c r="J383" s="30"/>
    </row>
    <row r="384" spans="1:10" ht="15" x14ac:dyDescent="0.2">
      <c r="A384" s="1"/>
      <c r="B384" s="1"/>
      <c r="C384" s="25"/>
      <c r="D384" s="1"/>
      <c r="E384" s="25"/>
      <c r="F384" s="25"/>
      <c r="G384" s="25"/>
      <c r="H384" s="1"/>
      <c r="I384" s="30"/>
      <c r="J384" s="30"/>
    </row>
    <row r="385" spans="1:10" ht="15" x14ac:dyDescent="0.2">
      <c r="A385" s="1"/>
      <c r="B385" s="25" t="s">
        <v>493</v>
      </c>
      <c r="C385" s="1"/>
      <c r="D385" s="1"/>
      <c r="E385" s="34"/>
      <c r="F385" s="34"/>
      <c r="G385" s="10"/>
      <c r="H385" s="1"/>
      <c r="I385" s="30"/>
      <c r="J385" s="30"/>
    </row>
    <row r="386" spans="1:10" ht="15" x14ac:dyDescent="0.2">
      <c r="A386" s="1"/>
      <c r="B386" s="1"/>
      <c r="C386" s="1" t="s">
        <v>494</v>
      </c>
      <c r="D386" s="61"/>
      <c r="E386" s="62">
        <v>0</v>
      </c>
      <c r="F386" s="62">
        <v>-2300</v>
      </c>
      <c r="G386" s="10"/>
      <c r="H386" s="1"/>
      <c r="I386" s="30"/>
      <c r="J386" s="30"/>
    </row>
    <row r="387" spans="1:10" ht="15" x14ac:dyDescent="0.2">
      <c r="A387" s="1"/>
      <c r="B387" s="1"/>
      <c r="C387" s="1" t="s">
        <v>495</v>
      </c>
      <c r="D387" s="61"/>
      <c r="E387" s="62">
        <v>2300</v>
      </c>
      <c r="F387" s="62">
        <v>0</v>
      </c>
      <c r="G387" s="10"/>
      <c r="H387" s="1"/>
      <c r="I387" s="30"/>
      <c r="J387" s="30"/>
    </row>
    <row r="388" spans="1:10" ht="15" x14ac:dyDescent="0.2">
      <c r="A388" s="1"/>
      <c r="B388" s="1"/>
      <c r="C388" s="1" t="s">
        <v>98</v>
      </c>
      <c r="D388" s="61"/>
      <c r="E388" s="62">
        <v>0</v>
      </c>
      <c r="F388" s="62">
        <v>-200</v>
      </c>
      <c r="G388" s="10"/>
      <c r="H388" s="1"/>
      <c r="I388" s="30"/>
      <c r="J388" s="30"/>
    </row>
    <row r="389" spans="1:10" ht="15" x14ac:dyDescent="0.2">
      <c r="A389" s="1"/>
      <c r="B389" s="1"/>
      <c r="C389" s="1" t="s">
        <v>175</v>
      </c>
      <c r="D389" s="61"/>
      <c r="E389" s="62">
        <v>0</v>
      </c>
      <c r="F389" s="62">
        <v>-500</v>
      </c>
      <c r="G389" s="10"/>
      <c r="H389" s="1"/>
      <c r="I389" s="30"/>
      <c r="J389" s="30"/>
    </row>
    <row r="390" spans="1:10" ht="15" x14ac:dyDescent="0.2">
      <c r="A390" s="1"/>
      <c r="B390" s="1"/>
      <c r="C390" s="1" t="s">
        <v>97</v>
      </c>
      <c r="D390" s="61"/>
      <c r="E390" s="62">
        <v>0</v>
      </c>
      <c r="F390" s="62">
        <v>-250</v>
      </c>
      <c r="G390" s="25"/>
      <c r="H390" s="1"/>
      <c r="I390" s="30"/>
      <c r="J390" s="30"/>
    </row>
    <row r="391" spans="1:10" ht="15" x14ac:dyDescent="0.2">
      <c r="A391" s="1"/>
      <c r="B391" s="1"/>
      <c r="C391" s="1" t="s">
        <v>96</v>
      </c>
      <c r="D391" s="61"/>
      <c r="E391" s="62">
        <v>0</v>
      </c>
      <c r="F391" s="62">
        <v>-1500</v>
      </c>
      <c r="G391" s="10"/>
      <c r="H391" s="1"/>
      <c r="I391" s="30"/>
      <c r="J391" s="30"/>
    </row>
    <row r="392" spans="1:10" ht="15" x14ac:dyDescent="0.2">
      <c r="A392" s="1"/>
      <c r="B392" s="1"/>
      <c r="C392" s="25"/>
      <c r="D392" s="1"/>
      <c r="E392" s="25"/>
      <c r="F392" s="25"/>
      <c r="G392" s="25"/>
      <c r="H392" s="1"/>
      <c r="I392" s="30"/>
      <c r="J392" s="30"/>
    </row>
    <row r="393" spans="1:10" ht="15" x14ac:dyDescent="0.2">
      <c r="A393" s="1"/>
      <c r="B393" s="1"/>
      <c r="C393" s="25" t="s">
        <v>80</v>
      </c>
      <c r="D393" s="1"/>
      <c r="E393" s="10">
        <f t="shared" ref="E393:F393" si="42">SUM(E386:E391)</f>
        <v>2300</v>
      </c>
      <c r="F393" s="10">
        <f t="shared" si="42"/>
        <v>-4750</v>
      </c>
      <c r="G393" s="10">
        <f>E393+F393</f>
        <v>-2450</v>
      </c>
      <c r="H393" s="1"/>
      <c r="I393" s="30"/>
      <c r="J393" s="30"/>
    </row>
    <row r="394" spans="1:10" ht="15" x14ac:dyDescent="0.2">
      <c r="A394" s="1"/>
      <c r="B394" s="1"/>
      <c r="C394" s="25"/>
      <c r="D394" s="1"/>
      <c r="E394" s="25"/>
      <c r="F394" s="25"/>
      <c r="G394" s="25"/>
      <c r="H394" s="1"/>
      <c r="I394" s="30"/>
      <c r="J394" s="30"/>
    </row>
    <row r="395" spans="1:10" ht="15" x14ac:dyDescent="0.2">
      <c r="A395" s="1"/>
      <c r="B395" s="25" t="s">
        <v>496</v>
      </c>
      <c r="C395" s="1"/>
      <c r="D395" s="1"/>
      <c r="E395" s="34"/>
      <c r="F395" s="34"/>
      <c r="G395" s="10"/>
      <c r="H395" s="1"/>
      <c r="I395" s="30"/>
      <c r="J395" s="30"/>
    </row>
    <row r="396" spans="1:10" ht="15" x14ac:dyDescent="0.2">
      <c r="A396" s="1"/>
      <c r="B396" s="1"/>
      <c r="C396" s="1" t="s">
        <v>497</v>
      </c>
      <c r="D396" s="61"/>
      <c r="E396" s="62">
        <v>1700</v>
      </c>
      <c r="F396" s="62">
        <v>0</v>
      </c>
      <c r="G396" s="10"/>
      <c r="H396" s="1"/>
      <c r="I396" s="30"/>
      <c r="J396" s="30"/>
    </row>
    <row r="397" spans="1:10" ht="15" x14ac:dyDescent="0.2">
      <c r="A397" s="1"/>
      <c r="B397" s="1"/>
      <c r="C397" s="1" t="s">
        <v>498</v>
      </c>
      <c r="D397" s="61"/>
      <c r="E397" s="62">
        <v>0</v>
      </c>
      <c r="F397" s="62">
        <v>-1600</v>
      </c>
      <c r="G397" s="10"/>
      <c r="H397" s="1"/>
      <c r="I397" s="30"/>
      <c r="J397" s="30"/>
    </row>
    <row r="398" spans="1:10" ht="15" x14ac:dyDescent="0.2">
      <c r="A398" s="1"/>
      <c r="B398" s="1"/>
      <c r="C398" s="1" t="s">
        <v>83</v>
      </c>
      <c r="D398" s="61"/>
      <c r="E398" s="62">
        <v>0</v>
      </c>
      <c r="F398" s="62">
        <v>-1370</v>
      </c>
      <c r="G398" s="10"/>
      <c r="H398" s="1"/>
      <c r="I398" s="30"/>
      <c r="J398" s="30"/>
    </row>
    <row r="399" spans="1:10" ht="15" x14ac:dyDescent="0.2">
      <c r="A399" s="1"/>
      <c r="B399" s="1"/>
      <c r="C399" s="1" t="s">
        <v>96</v>
      </c>
      <c r="D399" s="61"/>
      <c r="E399" s="62">
        <v>0</v>
      </c>
      <c r="F399" s="62">
        <v>-2130</v>
      </c>
      <c r="G399" s="10"/>
      <c r="H399" s="1"/>
      <c r="I399" s="30"/>
      <c r="J399" s="30"/>
    </row>
    <row r="400" spans="1:10" ht="15" x14ac:dyDescent="0.2">
      <c r="A400" s="1"/>
      <c r="B400" s="1"/>
      <c r="C400" s="1" t="s">
        <v>98</v>
      </c>
      <c r="D400" s="61"/>
      <c r="E400" s="62">
        <v>0</v>
      </c>
      <c r="F400" s="62">
        <v>-500</v>
      </c>
      <c r="G400" s="25"/>
      <c r="H400" s="1"/>
      <c r="I400" s="30"/>
      <c r="J400" s="30"/>
    </row>
    <row r="401" spans="1:10" ht="15" x14ac:dyDescent="0.2">
      <c r="A401" s="1"/>
      <c r="B401" s="1"/>
      <c r="C401" s="1" t="s">
        <v>255</v>
      </c>
      <c r="D401" s="61"/>
      <c r="E401" s="62">
        <v>0</v>
      </c>
      <c r="F401" s="62">
        <v>-2000</v>
      </c>
      <c r="G401" s="10"/>
      <c r="H401" s="1"/>
      <c r="I401" s="30"/>
      <c r="J401" s="30"/>
    </row>
    <row r="402" spans="1:10" ht="15" x14ac:dyDescent="0.2">
      <c r="A402" s="1"/>
      <c r="B402" s="1"/>
      <c r="C402" s="1" t="s">
        <v>499</v>
      </c>
      <c r="D402" s="61"/>
      <c r="E402" s="62">
        <v>0</v>
      </c>
      <c r="F402" s="62">
        <v>-8400</v>
      </c>
      <c r="G402" s="25"/>
      <c r="H402" s="1"/>
      <c r="I402" s="30"/>
      <c r="J402" s="30"/>
    </row>
    <row r="403" spans="1:10" ht="15" x14ac:dyDescent="0.2">
      <c r="A403" s="1"/>
      <c r="B403" s="1"/>
      <c r="C403" s="25"/>
      <c r="D403" s="1"/>
      <c r="E403" s="25"/>
      <c r="F403" s="25"/>
      <c r="G403" s="25"/>
      <c r="H403" s="1"/>
      <c r="I403" s="30"/>
      <c r="J403" s="30"/>
    </row>
    <row r="404" spans="1:10" ht="15" x14ac:dyDescent="0.2">
      <c r="A404" s="1"/>
      <c r="B404" s="1"/>
      <c r="C404" s="25" t="s">
        <v>80</v>
      </c>
      <c r="D404" s="1"/>
      <c r="E404" s="10">
        <f t="shared" ref="E404:F404" si="43">SUM(E396:E402)</f>
        <v>1700</v>
      </c>
      <c r="F404" s="10">
        <f t="shared" si="43"/>
        <v>-16000</v>
      </c>
      <c r="G404" s="10">
        <f>E404+F404</f>
        <v>-14300</v>
      </c>
      <c r="H404" s="1"/>
      <c r="I404" s="30"/>
      <c r="J404" s="30"/>
    </row>
    <row r="405" spans="1:10" ht="15" x14ac:dyDescent="0.2">
      <c r="A405" s="1"/>
      <c r="B405" s="1"/>
      <c r="C405" s="25"/>
      <c r="D405" s="1"/>
      <c r="E405" s="25"/>
      <c r="F405" s="25"/>
      <c r="G405" s="25"/>
      <c r="H405" s="1"/>
      <c r="I405" s="30"/>
      <c r="J405" s="30"/>
    </row>
    <row r="406" spans="1:10" ht="15" x14ac:dyDescent="0.2">
      <c r="A406" s="1"/>
      <c r="B406" s="25" t="s">
        <v>500</v>
      </c>
      <c r="C406" s="1"/>
      <c r="D406" s="1"/>
      <c r="E406" s="34"/>
      <c r="F406" s="34"/>
      <c r="G406" s="10"/>
      <c r="H406" s="1"/>
      <c r="I406" s="30"/>
      <c r="J406" s="30"/>
    </row>
    <row r="407" spans="1:10" ht="15" x14ac:dyDescent="0.2">
      <c r="A407" s="1"/>
      <c r="B407" s="1"/>
      <c r="C407" s="1" t="s">
        <v>88</v>
      </c>
      <c r="D407" s="61"/>
      <c r="E407" s="62">
        <v>14200</v>
      </c>
      <c r="F407" s="62">
        <v>0</v>
      </c>
      <c r="G407" s="10"/>
      <c r="H407" s="1"/>
      <c r="I407" s="30"/>
      <c r="J407" s="30"/>
    </row>
    <row r="408" spans="1:10" ht="15" x14ac:dyDescent="0.2">
      <c r="A408" s="1"/>
      <c r="B408" s="1"/>
      <c r="C408" s="1" t="s">
        <v>94</v>
      </c>
      <c r="D408" s="61"/>
      <c r="E408" s="62">
        <v>0</v>
      </c>
      <c r="F408" s="62">
        <v>-7001</v>
      </c>
      <c r="G408" s="10"/>
      <c r="H408" s="1"/>
      <c r="I408" s="30"/>
      <c r="J408" s="30"/>
    </row>
    <row r="409" spans="1:10" ht="15" x14ac:dyDescent="0.2">
      <c r="A409" s="1"/>
      <c r="B409" s="1"/>
      <c r="C409" s="1" t="s">
        <v>501</v>
      </c>
      <c r="D409" s="61"/>
      <c r="E409" s="62">
        <v>0</v>
      </c>
      <c r="F409" s="62">
        <v>-4600</v>
      </c>
      <c r="G409" s="10"/>
      <c r="H409" s="1"/>
      <c r="I409" s="30"/>
      <c r="J409" s="30"/>
    </row>
    <row r="410" spans="1:10" ht="15" x14ac:dyDescent="0.2">
      <c r="A410" s="1"/>
      <c r="B410" s="1"/>
      <c r="C410" s="1" t="s">
        <v>96</v>
      </c>
      <c r="D410" s="61"/>
      <c r="E410" s="62">
        <v>0</v>
      </c>
      <c r="F410" s="62">
        <v>-1192</v>
      </c>
      <c r="G410" s="10"/>
      <c r="H410" s="1"/>
      <c r="I410" s="30"/>
      <c r="J410" s="30"/>
    </row>
    <row r="411" spans="1:10" ht="15" x14ac:dyDescent="0.2">
      <c r="A411" s="1"/>
      <c r="B411" s="1"/>
      <c r="C411" s="1" t="s">
        <v>460</v>
      </c>
      <c r="D411" s="61"/>
      <c r="E411" s="62">
        <v>0</v>
      </c>
      <c r="F411" s="62">
        <v>-599</v>
      </c>
      <c r="G411" s="25"/>
      <c r="H411" s="1"/>
      <c r="I411" s="30"/>
      <c r="J411" s="30"/>
    </row>
    <row r="412" spans="1:10" ht="15" x14ac:dyDescent="0.2">
      <c r="A412" s="1"/>
      <c r="B412" s="1"/>
      <c r="C412" s="1" t="s">
        <v>98</v>
      </c>
      <c r="D412" s="61"/>
      <c r="E412" s="62">
        <v>0</v>
      </c>
      <c r="F412" s="62">
        <v>-1408</v>
      </c>
      <c r="G412" s="10"/>
      <c r="H412" s="1"/>
      <c r="I412" s="30"/>
      <c r="J412" s="30"/>
    </row>
    <row r="413" spans="1:10" ht="15" x14ac:dyDescent="0.2">
      <c r="A413" s="1"/>
      <c r="B413" s="1"/>
      <c r="C413" s="25"/>
      <c r="D413" s="1"/>
      <c r="E413" s="25"/>
      <c r="F413" s="25"/>
      <c r="G413" s="25"/>
      <c r="H413" s="1"/>
      <c r="I413" s="30"/>
      <c r="J413" s="30"/>
    </row>
    <row r="414" spans="1:10" ht="15" x14ac:dyDescent="0.2">
      <c r="A414" s="1"/>
      <c r="B414" s="1"/>
      <c r="C414" s="25" t="s">
        <v>80</v>
      </c>
      <c r="D414" s="1"/>
      <c r="E414" s="10">
        <f t="shared" ref="E414:F414" si="44">SUM(E407:E412)</f>
        <v>14200</v>
      </c>
      <c r="F414" s="10">
        <f t="shared" si="44"/>
        <v>-14800</v>
      </c>
      <c r="G414" s="10">
        <f>E414+F414</f>
        <v>-600</v>
      </c>
      <c r="H414" s="1"/>
      <c r="I414" s="30"/>
      <c r="J414" s="30"/>
    </row>
    <row r="415" spans="1:10" ht="15" x14ac:dyDescent="0.2">
      <c r="A415" s="1"/>
      <c r="B415" s="1"/>
      <c r="C415" s="25"/>
      <c r="D415" s="1"/>
      <c r="E415" s="25"/>
      <c r="F415" s="25"/>
      <c r="G415" s="25"/>
      <c r="H415" s="1"/>
      <c r="I415" s="30"/>
      <c r="J415" s="30"/>
    </row>
    <row r="416" spans="1:10" ht="15" x14ac:dyDescent="0.2">
      <c r="A416" s="1"/>
      <c r="B416" s="25" t="s">
        <v>502</v>
      </c>
      <c r="C416" s="1"/>
      <c r="D416" s="1"/>
      <c r="E416" s="34"/>
      <c r="F416" s="34"/>
      <c r="G416" s="10"/>
      <c r="H416" s="1"/>
      <c r="I416" s="30"/>
      <c r="J416" s="30"/>
    </row>
    <row r="417" spans="1:10" ht="15" x14ac:dyDescent="0.2">
      <c r="A417" s="1"/>
      <c r="B417" s="1"/>
      <c r="C417" s="1" t="s">
        <v>88</v>
      </c>
      <c r="D417" s="61"/>
      <c r="E417" s="62">
        <v>18700</v>
      </c>
      <c r="F417" s="62">
        <v>0</v>
      </c>
      <c r="G417" s="10"/>
      <c r="H417" s="1"/>
      <c r="I417" s="30"/>
      <c r="J417" s="30"/>
    </row>
    <row r="418" spans="1:10" ht="15" x14ac:dyDescent="0.2">
      <c r="A418" s="1"/>
      <c r="B418" s="1"/>
      <c r="C418" s="1" t="s">
        <v>503</v>
      </c>
      <c r="D418" s="61"/>
      <c r="E418" s="62">
        <v>47000</v>
      </c>
      <c r="F418" s="62">
        <v>0</v>
      </c>
      <c r="G418" s="10"/>
      <c r="H418" s="1"/>
      <c r="I418" s="30"/>
      <c r="J418" s="30"/>
    </row>
    <row r="419" spans="1:10" ht="15" x14ac:dyDescent="0.2">
      <c r="A419" s="1"/>
      <c r="B419" s="1"/>
      <c r="C419" s="1" t="s">
        <v>94</v>
      </c>
      <c r="D419" s="61"/>
      <c r="E419" s="62">
        <v>0</v>
      </c>
      <c r="F419" s="62">
        <v>-40311</v>
      </c>
      <c r="G419" s="10"/>
      <c r="H419" s="1"/>
      <c r="I419" s="30"/>
      <c r="J419" s="30"/>
    </row>
    <row r="420" spans="1:10" ht="15" x14ac:dyDescent="0.2">
      <c r="A420" s="1"/>
      <c r="B420" s="1"/>
      <c r="C420" s="1" t="s">
        <v>302</v>
      </c>
      <c r="D420" s="61"/>
      <c r="E420" s="62">
        <v>0</v>
      </c>
      <c r="F420" s="62">
        <v>-15000</v>
      </c>
      <c r="G420" s="10"/>
      <c r="H420" s="1"/>
      <c r="I420" s="30"/>
      <c r="J420" s="30"/>
    </row>
    <row r="421" spans="1:10" ht="15" x14ac:dyDescent="0.2">
      <c r="A421" s="1"/>
      <c r="B421" s="1"/>
      <c r="C421" s="1" t="s">
        <v>98</v>
      </c>
      <c r="D421" s="61"/>
      <c r="E421" s="62">
        <v>0</v>
      </c>
      <c r="F421" s="62">
        <v>-340</v>
      </c>
      <c r="G421" s="25"/>
      <c r="H421" s="1"/>
      <c r="I421" s="30"/>
      <c r="J421" s="30"/>
    </row>
    <row r="422" spans="1:10" ht="15" x14ac:dyDescent="0.2">
      <c r="A422" s="1"/>
      <c r="B422" s="1"/>
      <c r="C422" s="1" t="s">
        <v>504</v>
      </c>
      <c r="D422" s="61"/>
      <c r="E422" s="62">
        <v>0</v>
      </c>
      <c r="F422" s="62">
        <v>-3000</v>
      </c>
      <c r="G422" s="10"/>
      <c r="H422" s="1"/>
      <c r="I422" s="30"/>
      <c r="J422" s="30"/>
    </row>
    <row r="423" spans="1:10" ht="15" x14ac:dyDescent="0.2">
      <c r="A423" s="1"/>
      <c r="B423" s="1"/>
      <c r="C423" s="1" t="s">
        <v>505</v>
      </c>
      <c r="D423" s="61"/>
      <c r="E423" s="62">
        <v>0</v>
      </c>
      <c r="F423" s="62">
        <v>-10000</v>
      </c>
      <c r="G423" s="25"/>
      <c r="H423" s="1"/>
      <c r="I423" s="30"/>
      <c r="J423" s="30"/>
    </row>
    <row r="424" spans="1:10" ht="15" x14ac:dyDescent="0.2">
      <c r="A424" s="1"/>
      <c r="B424" s="1"/>
      <c r="C424" s="1" t="s">
        <v>506</v>
      </c>
      <c r="D424" s="61"/>
      <c r="E424" s="62">
        <v>0</v>
      </c>
      <c r="F424" s="62">
        <v>-2250</v>
      </c>
      <c r="G424" s="10"/>
      <c r="H424" s="1"/>
      <c r="I424" s="30"/>
      <c r="J424" s="30"/>
    </row>
    <row r="425" spans="1:10" ht="15" x14ac:dyDescent="0.2">
      <c r="A425" s="1"/>
      <c r="B425" s="1"/>
      <c r="C425" s="1" t="s">
        <v>507</v>
      </c>
      <c r="D425" s="61"/>
      <c r="E425" s="62">
        <v>0</v>
      </c>
      <c r="F425" s="62">
        <v>-3000</v>
      </c>
      <c r="G425" s="25"/>
      <c r="H425" s="1"/>
      <c r="I425" s="30"/>
      <c r="J425" s="30"/>
    </row>
    <row r="426" spans="1:10" ht="15" x14ac:dyDescent="0.2">
      <c r="A426" s="1"/>
      <c r="B426" s="1"/>
      <c r="C426" s="1" t="s">
        <v>508</v>
      </c>
      <c r="D426" s="61"/>
      <c r="E426" s="62">
        <v>0</v>
      </c>
      <c r="F426" s="62">
        <v>-1250</v>
      </c>
      <c r="G426" s="25"/>
      <c r="H426" s="1"/>
      <c r="I426" s="30"/>
      <c r="J426" s="30"/>
    </row>
    <row r="427" spans="1:10" ht="15" x14ac:dyDescent="0.2">
      <c r="A427" s="1"/>
      <c r="B427" s="1"/>
      <c r="C427" s="25"/>
      <c r="D427" s="1"/>
      <c r="E427" s="25"/>
      <c r="F427" s="25"/>
      <c r="G427" s="25"/>
      <c r="H427" s="1"/>
      <c r="I427" s="30"/>
      <c r="J427" s="30"/>
    </row>
    <row r="428" spans="1:10" ht="15" x14ac:dyDescent="0.2">
      <c r="A428" s="1"/>
      <c r="B428" s="1"/>
      <c r="C428" s="25" t="s">
        <v>80</v>
      </c>
      <c r="D428" s="1"/>
      <c r="E428" s="10">
        <f t="shared" ref="E428:F428" si="45">SUM(E417:E426)</f>
        <v>65700</v>
      </c>
      <c r="F428" s="10">
        <f t="shared" si="45"/>
        <v>-75151</v>
      </c>
      <c r="G428" s="10">
        <f>E428+F428</f>
        <v>-9451</v>
      </c>
      <c r="H428" s="1"/>
      <c r="I428" s="30"/>
      <c r="J428" s="30"/>
    </row>
    <row r="429" spans="1:10" ht="15" x14ac:dyDescent="0.2">
      <c r="A429" s="1"/>
      <c r="B429" s="1"/>
      <c r="C429" s="25"/>
      <c r="D429" s="1"/>
      <c r="E429" s="25"/>
      <c r="F429" s="25"/>
      <c r="G429" s="25"/>
      <c r="H429" s="1"/>
      <c r="I429" s="30"/>
      <c r="J429" s="30"/>
    </row>
    <row r="430" spans="1:10" ht="15" x14ac:dyDescent="0.2">
      <c r="A430" s="1"/>
      <c r="B430" s="25" t="s">
        <v>509</v>
      </c>
      <c r="C430" s="1"/>
      <c r="D430" s="1"/>
      <c r="E430" s="34"/>
      <c r="F430" s="34"/>
      <c r="G430" s="10"/>
      <c r="H430" s="1"/>
      <c r="I430" s="30"/>
      <c r="J430" s="30"/>
    </row>
    <row r="431" spans="1:10" ht="15" x14ac:dyDescent="0.2">
      <c r="A431" s="1"/>
      <c r="B431" s="1"/>
      <c r="C431" s="1" t="s">
        <v>88</v>
      </c>
      <c r="D431" s="61"/>
      <c r="E431" s="62">
        <v>12000</v>
      </c>
      <c r="F431" s="62">
        <v>0</v>
      </c>
      <c r="G431" s="10"/>
      <c r="H431" s="1"/>
      <c r="I431" s="30"/>
      <c r="J431" s="30"/>
    </row>
    <row r="432" spans="1:10" ht="15" x14ac:dyDescent="0.2">
      <c r="A432" s="1"/>
      <c r="B432" s="1"/>
      <c r="C432" s="1" t="s">
        <v>94</v>
      </c>
      <c r="D432" s="61"/>
      <c r="E432" s="62">
        <v>0</v>
      </c>
      <c r="F432" s="62">
        <v>-10900</v>
      </c>
      <c r="G432" s="10"/>
      <c r="H432" s="1"/>
      <c r="I432" s="30"/>
      <c r="J432" s="30"/>
    </row>
    <row r="433" spans="1:10" ht="15" x14ac:dyDescent="0.2">
      <c r="A433" s="1"/>
      <c r="B433" s="1"/>
      <c r="C433" s="1" t="s">
        <v>486</v>
      </c>
      <c r="D433" s="61"/>
      <c r="E433" s="62">
        <v>0</v>
      </c>
      <c r="F433" s="62">
        <v>-3500</v>
      </c>
      <c r="G433" s="10"/>
      <c r="H433" s="1"/>
      <c r="I433" s="30"/>
      <c r="J433" s="30"/>
    </row>
    <row r="434" spans="1:10" ht="15" x14ac:dyDescent="0.2">
      <c r="A434" s="1"/>
      <c r="B434" s="1"/>
      <c r="C434" s="1" t="s">
        <v>510</v>
      </c>
      <c r="D434" s="61"/>
      <c r="E434" s="62">
        <v>0</v>
      </c>
      <c r="F434" s="62">
        <v>-1100</v>
      </c>
      <c r="G434" s="10"/>
      <c r="H434" s="1"/>
      <c r="I434" s="30"/>
      <c r="J434" s="30"/>
    </row>
    <row r="435" spans="1:10" ht="15" x14ac:dyDescent="0.2">
      <c r="A435" s="1"/>
      <c r="B435" s="1"/>
      <c r="C435" s="1" t="s">
        <v>418</v>
      </c>
      <c r="D435" s="61"/>
      <c r="E435" s="62">
        <v>0</v>
      </c>
      <c r="F435" s="62">
        <v>-800</v>
      </c>
      <c r="G435" s="25"/>
      <c r="H435" s="1"/>
      <c r="I435" s="30"/>
      <c r="J435" s="30"/>
    </row>
    <row r="436" spans="1:10" ht="15" x14ac:dyDescent="0.2">
      <c r="A436" s="1"/>
      <c r="B436" s="1"/>
      <c r="C436" s="1" t="s">
        <v>98</v>
      </c>
      <c r="D436" s="61"/>
      <c r="E436" s="62">
        <v>0</v>
      </c>
      <c r="F436" s="62">
        <v>-1000</v>
      </c>
      <c r="G436" s="10"/>
      <c r="H436" s="1"/>
      <c r="I436" s="30"/>
      <c r="J436" s="30"/>
    </row>
    <row r="437" spans="1:10" ht="15" x14ac:dyDescent="0.2">
      <c r="A437" s="1"/>
      <c r="B437" s="1"/>
      <c r="C437" s="1" t="s">
        <v>366</v>
      </c>
      <c r="D437" s="61"/>
      <c r="E437" s="62">
        <v>0</v>
      </c>
      <c r="F437" s="62">
        <v>-750</v>
      </c>
      <c r="G437" s="25"/>
      <c r="H437" s="1"/>
      <c r="I437" s="30"/>
      <c r="J437" s="30"/>
    </row>
    <row r="438" spans="1:10" ht="15" x14ac:dyDescent="0.2">
      <c r="A438" s="1"/>
      <c r="B438" s="1"/>
      <c r="C438" s="1" t="s">
        <v>322</v>
      </c>
      <c r="D438" s="61"/>
      <c r="E438" s="62">
        <v>0</v>
      </c>
      <c r="F438" s="62">
        <v>-200</v>
      </c>
      <c r="G438" s="10"/>
      <c r="H438" s="1"/>
      <c r="I438" s="30"/>
      <c r="J438" s="30"/>
    </row>
    <row r="439" spans="1:10" ht="15" x14ac:dyDescent="0.2">
      <c r="A439" s="1"/>
      <c r="B439" s="1"/>
      <c r="C439" s="1" t="s">
        <v>151</v>
      </c>
      <c r="D439" s="61"/>
      <c r="E439" s="62">
        <v>0</v>
      </c>
      <c r="F439" s="62">
        <v>-1900</v>
      </c>
      <c r="G439" s="25"/>
      <c r="H439" s="1"/>
      <c r="I439" s="30"/>
      <c r="J439" s="30"/>
    </row>
    <row r="440" spans="1:10" ht="15" x14ac:dyDescent="0.2">
      <c r="A440" s="1"/>
      <c r="B440" s="1"/>
      <c r="C440" s="1" t="s">
        <v>511</v>
      </c>
      <c r="D440" s="61"/>
      <c r="E440" s="62">
        <v>0</v>
      </c>
      <c r="F440" s="62">
        <v>-1600</v>
      </c>
      <c r="G440" s="25"/>
      <c r="H440" s="1"/>
      <c r="I440" s="30"/>
      <c r="J440" s="30"/>
    </row>
    <row r="441" spans="1:10" ht="15" x14ac:dyDescent="0.2">
      <c r="A441" s="1"/>
      <c r="B441" s="1"/>
      <c r="C441" s="1" t="s">
        <v>96</v>
      </c>
      <c r="D441" s="61"/>
      <c r="E441" s="62">
        <v>0</v>
      </c>
      <c r="F441" s="62">
        <v>-600</v>
      </c>
      <c r="G441" s="25"/>
      <c r="H441" s="1"/>
      <c r="I441" s="30"/>
      <c r="J441" s="30"/>
    </row>
    <row r="442" spans="1:10" ht="15" x14ac:dyDescent="0.2">
      <c r="A442" s="1"/>
      <c r="B442" s="1"/>
      <c r="C442" s="25"/>
      <c r="D442" s="1"/>
      <c r="E442" s="25"/>
      <c r="F442" s="25"/>
      <c r="G442" s="25"/>
      <c r="H442" s="1"/>
      <c r="I442" s="30"/>
      <c r="J442" s="30"/>
    </row>
    <row r="443" spans="1:10" ht="15" x14ac:dyDescent="0.2">
      <c r="A443" s="1"/>
      <c r="B443" s="1"/>
      <c r="C443" s="25" t="s">
        <v>80</v>
      </c>
      <c r="D443" s="1"/>
      <c r="E443" s="10">
        <f t="shared" ref="E443:F443" si="46">SUM(E431:E441)</f>
        <v>12000</v>
      </c>
      <c r="F443" s="10">
        <f t="shared" si="46"/>
        <v>-22350</v>
      </c>
      <c r="G443" s="10">
        <f>E443+F443</f>
        <v>-10350</v>
      </c>
      <c r="H443" s="1"/>
      <c r="I443" s="30"/>
      <c r="J443" s="30"/>
    </row>
    <row r="444" spans="1:10" ht="15" x14ac:dyDescent="0.2">
      <c r="A444" s="1"/>
      <c r="B444" s="1"/>
      <c r="C444" s="25"/>
      <c r="D444" s="1"/>
      <c r="E444" s="25"/>
      <c r="F444" s="25"/>
      <c r="G444" s="25"/>
      <c r="H444" s="1"/>
      <c r="I444" s="30"/>
      <c r="J444" s="30"/>
    </row>
    <row r="445" spans="1:10" ht="15" x14ac:dyDescent="0.2">
      <c r="A445" s="1"/>
      <c r="B445" s="25" t="s">
        <v>512</v>
      </c>
      <c r="C445" s="1"/>
      <c r="D445" s="1"/>
      <c r="E445" s="34"/>
      <c r="F445" s="34"/>
      <c r="G445" s="10"/>
      <c r="H445" s="1"/>
      <c r="I445" s="30"/>
      <c r="J445" s="30"/>
    </row>
    <row r="446" spans="1:10" ht="15" x14ac:dyDescent="0.2">
      <c r="A446" s="1"/>
      <c r="B446" s="1"/>
      <c r="C446" s="1" t="s">
        <v>302</v>
      </c>
      <c r="D446" s="61"/>
      <c r="E446" s="62">
        <v>0</v>
      </c>
      <c r="F446" s="62">
        <v>-1100</v>
      </c>
      <c r="G446" s="10"/>
      <c r="H446" s="1"/>
      <c r="I446" s="30"/>
      <c r="J446" s="30"/>
    </row>
    <row r="447" spans="1:10" ht="15" x14ac:dyDescent="0.2">
      <c r="A447" s="1"/>
      <c r="B447" s="1"/>
      <c r="C447" s="25"/>
      <c r="D447" s="1"/>
      <c r="E447" s="25"/>
      <c r="F447" s="25"/>
      <c r="G447" s="25"/>
      <c r="H447" s="1"/>
      <c r="I447" s="30"/>
      <c r="J447" s="30"/>
    </row>
    <row r="448" spans="1:10" ht="15" x14ac:dyDescent="0.2">
      <c r="A448" s="1"/>
      <c r="B448" s="1"/>
      <c r="C448" s="25" t="s">
        <v>80</v>
      </c>
      <c r="D448" s="1"/>
      <c r="E448" s="10">
        <f t="shared" ref="E448:F448" si="47">SUM(E446)</f>
        <v>0</v>
      </c>
      <c r="F448" s="10">
        <f t="shared" si="47"/>
        <v>-1100</v>
      </c>
      <c r="G448" s="10">
        <f>E448+F448</f>
        <v>-1100</v>
      </c>
      <c r="H448" s="1"/>
      <c r="I448" s="30"/>
      <c r="J448" s="30"/>
    </row>
    <row r="449" spans="1:10" ht="15" x14ac:dyDescent="0.2">
      <c r="A449" s="1"/>
      <c r="B449" s="1"/>
      <c r="C449" s="25"/>
      <c r="D449" s="1"/>
      <c r="E449" s="25"/>
      <c r="F449" s="25"/>
      <c r="G449" s="25"/>
      <c r="H449" s="1"/>
      <c r="I449" s="30"/>
      <c r="J449" s="30"/>
    </row>
    <row r="450" spans="1:10" ht="15" x14ac:dyDescent="0.2">
      <c r="A450" s="1"/>
      <c r="B450" s="25" t="s">
        <v>513</v>
      </c>
      <c r="C450" s="1"/>
      <c r="D450" s="1"/>
      <c r="E450" s="34"/>
      <c r="F450" s="34"/>
      <c r="G450" s="10"/>
      <c r="H450" s="1"/>
      <c r="I450" s="30"/>
      <c r="J450" s="30"/>
    </row>
    <row r="451" spans="1:10" ht="15" x14ac:dyDescent="0.2">
      <c r="A451" s="1"/>
      <c r="B451" s="1"/>
      <c r="C451" s="1" t="s">
        <v>83</v>
      </c>
      <c r="D451" s="61"/>
      <c r="E451" s="62">
        <v>0</v>
      </c>
      <c r="F451" s="62">
        <v>-1500</v>
      </c>
      <c r="G451" s="10"/>
      <c r="H451" s="1"/>
      <c r="I451" s="30"/>
      <c r="J451" s="30"/>
    </row>
    <row r="452" spans="1:10" ht="15" x14ac:dyDescent="0.2">
      <c r="A452" s="1"/>
      <c r="B452" s="1"/>
      <c r="C452" s="25"/>
      <c r="D452" s="1"/>
      <c r="E452" s="25"/>
      <c r="F452" s="25"/>
      <c r="G452" s="25"/>
      <c r="H452" s="1"/>
      <c r="I452" s="30"/>
      <c r="J452" s="30"/>
    </row>
    <row r="453" spans="1:10" ht="15" x14ac:dyDescent="0.2">
      <c r="A453" s="1"/>
      <c r="B453" s="1"/>
      <c r="C453" s="25" t="s">
        <v>80</v>
      </c>
      <c r="D453" s="1"/>
      <c r="E453" s="10">
        <f t="shared" ref="E453:F453" si="48">SUM(E451)</f>
        <v>0</v>
      </c>
      <c r="F453" s="10">
        <f t="shared" si="48"/>
        <v>-1500</v>
      </c>
      <c r="G453" s="10">
        <f>E453+F453</f>
        <v>-1500</v>
      </c>
      <c r="H453" s="1"/>
      <c r="I453" s="30"/>
      <c r="J453" s="30"/>
    </row>
    <row r="454" spans="1:10" ht="15" x14ac:dyDescent="0.2">
      <c r="A454" s="1"/>
      <c r="B454" s="1"/>
      <c r="C454" s="25"/>
      <c r="D454" s="1"/>
      <c r="E454" s="25"/>
      <c r="F454" s="25"/>
      <c r="G454" s="25"/>
      <c r="H454" s="1"/>
      <c r="I454" s="30"/>
      <c r="J454" s="30"/>
    </row>
    <row r="455" spans="1:10" ht="15" x14ac:dyDescent="0.2">
      <c r="A455" s="1"/>
      <c r="B455" s="25" t="s">
        <v>514</v>
      </c>
      <c r="C455" s="1"/>
      <c r="D455" s="1"/>
      <c r="E455" s="34"/>
      <c r="F455" s="34"/>
      <c r="G455" s="10"/>
      <c r="H455" s="1"/>
      <c r="I455" s="30"/>
      <c r="J455" s="30"/>
    </row>
    <row r="456" spans="1:10" ht="15" x14ac:dyDescent="0.2">
      <c r="A456" s="1"/>
      <c r="B456" s="1"/>
      <c r="C456" s="1" t="s">
        <v>88</v>
      </c>
      <c r="D456" s="61"/>
      <c r="E456" s="62">
        <v>2400</v>
      </c>
      <c r="F456" s="62">
        <v>0</v>
      </c>
      <c r="G456" s="10"/>
      <c r="H456" s="1"/>
      <c r="I456" s="30"/>
      <c r="J456" s="30"/>
    </row>
    <row r="457" spans="1:10" ht="15" x14ac:dyDescent="0.2">
      <c r="A457" s="1"/>
      <c r="B457" s="1"/>
      <c r="C457" s="1" t="s">
        <v>94</v>
      </c>
      <c r="D457" s="61"/>
      <c r="E457" s="62">
        <v>0</v>
      </c>
      <c r="F457" s="62">
        <v>-2000</v>
      </c>
      <c r="G457" s="10"/>
      <c r="H457" s="1"/>
      <c r="I457" s="30"/>
      <c r="J457" s="30"/>
    </row>
    <row r="458" spans="1:10" ht="15" x14ac:dyDescent="0.2">
      <c r="A458" s="1"/>
      <c r="B458" s="1"/>
      <c r="C458" s="1" t="s">
        <v>302</v>
      </c>
      <c r="D458" s="61"/>
      <c r="E458" s="62">
        <v>0</v>
      </c>
      <c r="F458" s="62">
        <v>-200</v>
      </c>
      <c r="G458" s="10"/>
      <c r="H458" s="1"/>
      <c r="I458" s="30"/>
      <c r="J458" s="30"/>
    </row>
    <row r="459" spans="1:10" ht="15" x14ac:dyDescent="0.2">
      <c r="A459" s="1"/>
      <c r="B459" s="1"/>
      <c r="C459" s="1" t="s">
        <v>98</v>
      </c>
      <c r="D459" s="61"/>
      <c r="E459" s="62">
        <v>0</v>
      </c>
      <c r="F459" s="62">
        <v>-250</v>
      </c>
      <c r="G459" s="10"/>
      <c r="H459" s="1"/>
      <c r="I459" s="30"/>
      <c r="J459" s="30"/>
    </row>
    <row r="460" spans="1:10" ht="15" x14ac:dyDescent="0.2">
      <c r="A460" s="1"/>
      <c r="B460" s="1"/>
      <c r="C460" s="25"/>
      <c r="D460" s="1"/>
      <c r="E460" s="25"/>
      <c r="F460" s="25"/>
      <c r="G460" s="25"/>
      <c r="H460" s="1"/>
      <c r="I460" s="30"/>
      <c r="J460" s="30"/>
    </row>
    <row r="461" spans="1:10" ht="15" x14ac:dyDescent="0.2">
      <c r="A461" s="1"/>
      <c r="B461" s="1"/>
      <c r="C461" s="25" t="s">
        <v>80</v>
      </c>
      <c r="D461" s="1"/>
      <c r="E461" s="10">
        <f t="shared" ref="E461:F461" si="49">SUM(E456:E459)</f>
        <v>2400</v>
      </c>
      <c r="F461" s="10">
        <f t="shared" si="49"/>
        <v>-2450</v>
      </c>
      <c r="G461" s="10">
        <f>E461+F461</f>
        <v>-50</v>
      </c>
      <c r="H461" s="1"/>
      <c r="I461" s="30"/>
      <c r="J461" s="30"/>
    </row>
    <row r="462" spans="1:10" ht="15" x14ac:dyDescent="0.2">
      <c r="A462" s="1"/>
      <c r="B462" s="1"/>
      <c r="C462" s="25"/>
      <c r="D462" s="1"/>
      <c r="E462" s="25"/>
      <c r="F462" s="25"/>
      <c r="G462" s="25"/>
      <c r="H462" s="1"/>
      <c r="I462" s="30"/>
      <c r="J462" s="30"/>
    </row>
    <row r="463" spans="1:10" ht="15" x14ac:dyDescent="0.2">
      <c r="A463" s="1"/>
      <c r="B463" s="25" t="s">
        <v>515</v>
      </c>
      <c r="C463" s="1"/>
      <c r="D463" s="1"/>
      <c r="E463" s="34"/>
      <c r="F463" s="34"/>
      <c r="G463" s="10"/>
      <c r="H463" s="1"/>
      <c r="I463" s="30"/>
      <c r="J463" s="30"/>
    </row>
    <row r="464" spans="1:10" ht="15" x14ac:dyDescent="0.2">
      <c r="A464" s="1"/>
      <c r="B464" s="1"/>
      <c r="C464" s="1" t="s">
        <v>94</v>
      </c>
      <c r="D464" s="61"/>
      <c r="E464" s="62">
        <v>0</v>
      </c>
      <c r="F464" s="62">
        <v>-1000</v>
      </c>
      <c r="G464" s="10"/>
      <c r="H464" s="1"/>
      <c r="I464" s="30"/>
      <c r="J464" s="30"/>
    </row>
    <row r="465" spans="1:10" ht="15" x14ac:dyDescent="0.2">
      <c r="A465" s="1"/>
      <c r="B465" s="1"/>
      <c r="C465" s="1" t="s">
        <v>302</v>
      </c>
      <c r="D465" s="61"/>
      <c r="E465" s="62">
        <v>0</v>
      </c>
      <c r="F465" s="62">
        <v>-300</v>
      </c>
      <c r="G465" s="10"/>
      <c r="H465" s="1"/>
      <c r="I465" s="30"/>
      <c r="J465" s="30"/>
    </row>
    <row r="466" spans="1:10" ht="15" x14ac:dyDescent="0.2">
      <c r="A466" s="1"/>
      <c r="B466" s="1"/>
      <c r="C466" s="1" t="s">
        <v>255</v>
      </c>
      <c r="D466" s="61"/>
      <c r="E466" s="62">
        <v>0</v>
      </c>
      <c r="F466" s="62">
        <v>-300</v>
      </c>
      <c r="G466" s="10"/>
      <c r="H466" s="1"/>
      <c r="I466" s="30"/>
      <c r="J466" s="30"/>
    </row>
    <row r="467" spans="1:10" ht="15" x14ac:dyDescent="0.2">
      <c r="A467" s="1"/>
      <c r="B467" s="1"/>
      <c r="C467" s="25"/>
      <c r="D467" s="1"/>
      <c r="E467" s="25"/>
      <c r="F467" s="25"/>
      <c r="G467" s="25"/>
      <c r="H467" s="1"/>
      <c r="I467" s="30"/>
      <c r="J467" s="30"/>
    </row>
    <row r="468" spans="1:10" ht="15" x14ac:dyDescent="0.2">
      <c r="A468" s="1"/>
      <c r="B468" s="1"/>
      <c r="C468" s="25" t="s">
        <v>80</v>
      </c>
      <c r="D468" s="1"/>
      <c r="E468" s="10">
        <f t="shared" ref="E468:F468" si="50">SUM(E464:E466)</f>
        <v>0</v>
      </c>
      <c r="F468" s="10">
        <f t="shared" si="50"/>
        <v>-1600</v>
      </c>
      <c r="G468" s="10">
        <f>E468+F468</f>
        <v>-1600</v>
      </c>
      <c r="H468" s="1"/>
      <c r="I468" s="30"/>
      <c r="J468" s="30"/>
    </row>
    <row r="469" spans="1:10" ht="15" x14ac:dyDescent="0.2">
      <c r="A469" s="1"/>
      <c r="B469" s="1"/>
      <c r="C469" s="25"/>
      <c r="D469" s="1"/>
      <c r="E469" s="25"/>
      <c r="F469" s="25"/>
      <c r="G469" s="25"/>
      <c r="H469" s="1"/>
      <c r="I469" s="30"/>
      <c r="J469" s="30"/>
    </row>
    <row r="470" spans="1:10" ht="15" x14ac:dyDescent="0.2">
      <c r="A470" s="1"/>
      <c r="B470" s="25" t="s">
        <v>516</v>
      </c>
      <c r="C470" s="1"/>
      <c r="D470" s="1"/>
      <c r="E470" s="34"/>
      <c r="F470" s="34"/>
      <c r="G470" s="10"/>
      <c r="H470" s="1"/>
      <c r="I470" s="30"/>
      <c r="J470" s="30"/>
    </row>
    <row r="471" spans="1:10" ht="15" x14ac:dyDescent="0.2">
      <c r="A471" s="1"/>
      <c r="B471" s="1"/>
      <c r="C471" s="1" t="s">
        <v>88</v>
      </c>
      <c r="D471" s="61"/>
      <c r="E471" s="62">
        <v>30000</v>
      </c>
      <c r="F471" s="62">
        <v>0</v>
      </c>
      <c r="G471" s="10"/>
      <c r="H471" s="1"/>
      <c r="I471" s="30"/>
      <c r="J471" s="30"/>
    </row>
    <row r="472" spans="1:10" ht="15" x14ac:dyDescent="0.2">
      <c r="A472" s="1"/>
      <c r="B472" s="1"/>
      <c r="C472" s="1" t="s">
        <v>517</v>
      </c>
      <c r="D472" s="61"/>
      <c r="E472" s="62">
        <v>0</v>
      </c>
      <c r="F472" s="62">
        <v>-15000</v>
      </c>
      <c r="G472" s="10"/>
      <c r="H472" s="1"/>
      <c r="I472" s="30"/>
      <c r="J472" s="30"/>
    </row>
    <row r="473" spans="1:10" ht="15" x14ac:dyDescent="0.2">
      <c r="A473" s="1"/>
      <c r="B473" s="1"/>
      <c r="C473" s="1" t="s">
        <v>518</v>
      </c>
      <c r="D473" s="61"/>
      <c r="E473" s="62">
        <v>0</v>
      </c>
      <c r="F473" s="62">
        <v>-20000</v>
      </c>
      <c r="G473" s="10"/>
      <c r="H473" s="1"/>
      <c r="I473" s="30"/>
      <c r="J473" s="30"/>
    </row>
    <row r="474" spans="1:10" ht="15" x14ac:dyDescent="0.2">
      <c r="A474" s="1"/>
      <c r="B474" s="1"/>
      <c r="C474" s="1" t="s">
        <v>98</v>
      </c>
      <c r="D474" s="61"/>
      <c r="E474" s="62">
        <v>0</v>
      </c>
      <c r="F474" s="62">
        <v>-2000</v>
      </c>
      <c r="G474" s="10"/>
      <c r="H474" s="1"/>
      <c r="I474" s="30"/>
      <c r="J474" s="30"/>
    </row>
    <row r="475" spans="1:10" ht="15" x14ac:dyDescent="0.2">
      <c r="A475" s="1"/>
      <c r="B475" s="1"/>
      <c r="C475" s="1" t="s">
        <v>151</v>
      </c>
      <c r="D475" s="61"/>
      <c r="E475" s="62">
        <v>0</v>
      </c>
      <c r="F475" s="62">
        <v>-3200</v>
      </c>
      <c r="G475" s="25"/>
      <c r="H475" s="1"/>
      <c r="I475" s="30"/>
      <c r="J475" s="30"/>
    </row>
    <row r="476" spans="1:10" ht="15" x14ac:dyDescent="0.2">
      <c r="A476" s="1"/>
      <c r="B476" s="1"/>
      <c r="C476" s="1" t="s">
        <v>96</v>
      </c>
      <c r="D476" s="61"/>
      <c r="E476" s="62">
        <v>0</v>
      </c>
      <c r="F476" s="62">
        <v>-2000</v>
      </c>
      <c r="G476" s="10"/>
      <c r="H476" s="1"/>
      <c r="I476" s="30"/>
      <c r="J476" s="30"/>
    </row>
    <row r="477" spans="1:10" ht="15" x14ac:dyDescent="0.2">
      <c r="A477" s="1"/>
      <c r="B477" s="1"/>
      <c r="C477" s="1" t="s">
        <v>212</v>
      </c>
      <c r="D477" s="61"/>
      <c r="E477" s="62">
        <v>0</v>
      </c>
      <c r="F477" s="62">
        <v>-6000</v>
      </c>
      <c r="G477" s="25"/>
      <c r="H477" s="1"/>
      <c r="I477" s="30"/>
      <c r="J477" s="30"/>
    </row>
    <row r="478" spans="1:10" ht="15" x14ac:dyDescent="0.2">
      <c r="A478" s="1"/>
      <c r="B478" s="1"/>
      <c r="C478" s="25"/>
      <c r="D478" s="1"/>
      <c r="E478" s="25"/>
      <c r="F478" s="25"/>
      <c r="G478" s="25"/>
      <c r="H478" s="1"/>
      <c r="I478" s="30"/>
      <c r="J478" s="30"/>
    </row>
    <row r="479" spans="1:10" ht="15" x14ac:dyDescent="0.2">
      <c r="A479" s="1"/>
      <c r="B479" s="1"/>
      <c r="C479" s="25" t="s">
        <v>80</v>
      </c>
      <c r="D479" s="1"/>
      <c r="E479" s="10">
        <f t="shared" ref="E479:F479" si="51">SUM(E471:E477)</f>
        <v>30000</v>
      </c>
      <c r="F479" s="10">
        <f t="shared" si="51"/>
        <v>-48200</v>
      </c>
      <c r="G479" s="10">
        <f>E479+F479</f>
        <v>-18200</v>
      </c>
      <c r="H479" s="1"/>
      <c r="I479" s="30"/>
      <c r="J479" s="30"/>
    </row>
    <row r="480" spans="1:10" ht="15" x14ac:dyDescent="0.2">
      <c r="A480" s="1"/>
      <c r="B480" s="1"/>
      <c r="C480" s="25"/>
      <c r="D480" s="1"/>
      <c r="E480" s="25"/>
      <c r="F480" s="25"/>
      <c r="G480" s="25"/>
      <c r="H480" s="1"/>
      <c r="I480" s="30"/>
      <c r="J480" s="30"/>
    </row>
    <row r="481" spans="1:10" ht="15" x14ac:dyDescent="0.2">
      <c r="A481" s="1"/>
      <c r="B481" s="25" t="s">
        <v>519</v>
      </c>
      <c r="C481" s="1"/>
      <c r="D481" s="1"/>
      <c r="E481" s="34"/>
      <c r="F481" s="34"/>
      <c r="G481" s="10"/>
      <c r="H481" s="1"/>
      <c r="I481" s="30"/>
      <c r="J481" s="30"/>
    </row>
    <row r="482" spans="1:10" ht="15" x14ac:dyDescent="0.2">
      <c r="A482" s="1"/>
      <c r="B482" s="1"/>
      <c r="C482" s="1" t="s">
        <v>458</v>
      </c>
      <c r="D482" s="61"/>
      <c r="E482" s="62">
        <v>17500</v>
      </c>
      <c r="F482" s="62">
        <v>0</v>
      </c>
      <c r="G482" s="10"/>
      <c r="H482" s="1"/>
      <c r="I482" s="30"/>
      <c r="J482" s="30"/>
    </row>
    <row r="483" spans="1:10" ht="15" x14ac:dyDescent="0.2">
      <c r="A483" s="1"/>
      <c r="B483" s="1"/>
      <c r="C483" s="1" t="s">
        <v>520</v>
      </c>
      <c r="D483" s="61"/>
      <c r="E483" s="62">
        <v>0</v>
      </c>
      <c r="F483" s="62">
        <v>-49000</v>
      </c>
      <c r="G483" s="10"/>
      <c r="H483" s="1"/>
      <c r="I483" s="30"/>
      <c r="J483" s="30"/>
    </row>
    <row r="484" spans="1:10" ht="15" x14ac:dyDescent="0.2">
      <c r="A484" s="1"/>
      <c r="B484" s="1"/>
      <c r="C484" s="25"/>
      <c r="D484" s="1"/>
      <c r="E484" s="25"/>
      <c r="F484" s="25"/>
      <c r="G484" s="25"/>
      <c r="H484" s="1"/>
      <c r="I484" s="30"/>
      <c r="J484" s="30"/>
    </row>
    <row r="485" spans="1:10" ht="15" x14ac:dyDescent="0.2">
      <c r="A485" s="1"/>
      <c r="B485" s="1"/>
      <c r="C485" s="25" t="s">
        <v>80</v>
      </c>
      <c r="D485" s="1"/>
      <c r="E485" s="10">
        <f t="shared" ref="E485:F485" si="52">SUM(E482:E483)</f>
        <v>17500</v>
      </c>
      <c r="F485" s="10">
        <f t="shared" si="52"/>
        <v>-49000</v>
      </c>
      <c r="G485" s="10">
        <f>E485+F485</f>
        <v>-31500</v>
      </c>
      <c r="H485" s="1"/>
      <c r="I485" s="30"/>
      <c r="J485" s="30"/>
    </row>
    <row r="486" spans="1:10" ht="15" x14ac:dyDescent="0.2">
      <c r="A486" s="1"/>
      <c r="B486" s="1"/>
      <c r="C486" s="25"/>
      <c r="D486" s="1"/>
      <c r="E486" s="25"/>
      <c r="F486" s="25"/>
      <c r="G486" s="25"/>
      <c r="H486" s="1"/>
      <c r="I486" s="30"/>
      <c r="J486" s="30"/>
    </row>
    <row r="487" spans="1:10" ht="15" x14ac:dyDescent="0.2">
      <c r="A487" s="1"/>
      <c r="B487" s="25" t="s">
        <v>521</v>
      </c>
      <c r="C487" s="1"/>
      <c r="D487" s="1"/>
      <c r="E487" s="34"/>
      <c r="F487" s="34"/>
      <c r="G487" s="10"/>
      <c r="H487" s="1"/>
      <c r="I487" s="30"/>
      <c r="J487" s="30"/>
    </row>
    <row r="488" spans="1:10" ht="15" x14ac:dyDescent="0.2">
      <c r="A488" s="1"/>
      <c r="B488" s="1"/>
      <c r="C488" s="1" t="s">
        <v>88</v>
      </c>
      <c r="D488" s="61"/>
      <c r="E488" s="62">
        <v>4000</v>
      </c>
      <c r="F488" s="62">
        <v>0</v>
      </c>
      <c r="G488" s="10"/>
      <c r="H488" s="1"/>
      <c r="I488" s="30"/>
      <c r="J488" s="30"/>
    </row>
    <row r="489" spans="1:10" ht="15" x14ac:dyDescent="0.2">
      <c r="A489" s="1"/>
      <c r="B489" s="1"/>
      <c r="C489" s="1" t="s">
        <v>517</v>
      </c>
      <c r="D489" s="61"/>
      <c r="E489" s="62">
        <v>0</v>
      </c>
      <c r="F489" s="62">
        <v>-3000</v>
      </c>
      <c r="G489" s="10"/>
      <c r="H489" s="1"/>
      <c r="I489" s="30"/>
      <c r="J489" s="30"/>
    </row>
    <row r="490" spans="1:10" ht="15" x14ac:dyDescent="0.2">
      <c r="A490" s="1"/>
      <c r="B490" s="1"/>
      <c r="C490" s="1" t="s">
        <v>302</v>
      </c>
      <c r="D490" s="61"/>
      <c r="E490" s="62">
        <v>0</v>
      </c>
      <c r="F490" s="62">
        <v>-300</v>
      </c>
      <c r="G490" s="10"/>
      <c r="H490" s="1"/>
      <c r="I490" s="30"/>
      <c r="J490" s="30"/>
    </row>
    <row r="491" spans="1:10" ht="15" x14ac:dyDescent="0.2">
      <c r="A491" s="1"/>
      <c r="B491" s="1"/>
      <c r="C491" s="1" t="s">
        <v>98</v>
      </c>
      <c r="D491" s="61"/>
      <c r="E491" s="62">
        <v>0</v>
      </c>
      <c r="F491" s="62">
        <v>-400</v>
      </c>
      <c r="G491" s="10"/>
      <c r="H491" s="1"/>
      <c r="I491" s="30"/>
      <c r="J491" s="30"/>
    </row>
    <row r="492" spans="1:10" ht="15" x14ac:dyDescent="0.2">
      <c r="A492" s="1"/>
      <c r="B492" s="1"/>
      <c r="C492" s="1" t="s">
        <v>151</v>
      </c>
      <c r="D492" s="61"/>
      <c r="E492" s="62">
        <v>0</v>
      </c>
      <c r="F492" s="62">
        <v>-1000</v>
      </c>
      <c r="G492" s="25"/>
      <c r="H492" s="1"/>
      <c r="I492" s="30"/>
      <c r="J492" s="30"/>
    </row>
    <row r="493" spans="1:10" ht="15" x14ac:dyDescent="0.2">
      <c r="A493" s="1"/>
      <c r="B493" s="1"/>
      <c r="C493" s="1" t="s">
        <v>96</v>
      </c>
      <c r="D493" s="61"/>
      <c r="E493" s="62">
        <v>0</v>
      </c>
      <c r="F493" s="62">
        <v>-500</v>
      </c>
      <c r="G493" s="10"/>
      <c r="H493" s="1"/>
      <c r="I493" s="30"/>
      <c r="J493" s="30"/>
    </row>
    <row r="494" spans="1:10" ht="15" x14ac:dyDescent="0.2">
      <c r="A494" s="1"/>
      <c r="B494" s="1"/>
      <c r="C494" s="25"/>
      <c r="D494" s="1"/>
      <c r="E494" s="25"/>
      <c r="F494" s="25"/>
      <c r="G494" s="25"/>
      <c r="H494" s="1"/>
      <c r="I494" s="30"/>
      <c r="J494" s="30"/>
    </row>
    <row r="495" spans="1:10" ht="15" x14ac:dyDescent="0.2">
      <c r="A495" s="1"/>
      <c r="B495" s="1"/>
      <c r="C495" s="25" t="s">
        <v>80</v>
      </c>
      <c r="D495" s="1"/>
      <c r="E495" s="10">
        <f t="shared" ref="E495:F495" si="53">SUM(E488:E493)</f>
        <v>4000</v>
      </c>
      <c r="F495" s="10">
        <f t="shared" si="53"/>
        <v>-5200</v>
      </c>
      <c r="G495" s="10">
        <f>E495+F495</f>
        <v>-1200</v>
      </c>
      <c r="H495" s="1"/>
      <c r="I495" s="30"/>
      <c r="J495" s="30"/>
    </row>
    <row r="496" spans="1:10" ht="15" x14ac:dyDescent="0.2">
      <c r="A496" s="1"/>
      <c r="B496" s="1"/>
      <c r="C496" s="25"/>
      <c r="D496" s="1"/>
      <c r="E496" s="25"/>
      <c r="F496" s="25"/>
      <c r="G496" s="25"/>
      <c r="H496" s="1"/>
      <c r="I496" s="30"/>
      <c r="J496" s="30"/>
    </row>
    <row r="497" spans="1:10" ht="15" x14ac:dyDescent="0.2">
      <c r="A497" s="1"/>
      <c r="B497" s="25" t="s">
        <v>522</v>
      </c>
      <c r="C497" s="1"/>
      <c r="D497" s="1"/>
      <c r="E497" s="34"/>
      <c r="F497" s="34"/>
      <c r="G497" s="10"/>
      <c r="H497" s="1"/>
      <c r="I497" s="30"/>
      <c r="J497" s="30"/>
    </row>
    <row r="498" spans="1:10" ht="15" x14ac:dyDescent="0.2">
      <c r="A498" s="1"/>
      <c r="B498" s="1"/>
      <c r="C498" s="1" t="s">
        <v>523</v>
      </c>
      <c r="D498" s="61"/>
      <c r="E498" s="62">
        <v>0</v>
      </c>
      <c r="F498" s="62">
        <v>-800</v>
      </c>
      <c r="G498" s="10"/>
      <c r="H498" s="1"/>
      <c r="I498" s="30"/>
      <c r="J498" s="30"/>
    </row>
    <row r="499" spans="1:10" ht="15" x14ac:dyDescent="0.2">
      <c r="A499" s="1"/>
      <c r="B499" s="1"/>
      <c r="C499" s="1" t="s">
        <v>524</v>
      </c>
      <c r="D499" s="61"/>
      <c r="E499" s="62">
        <v>0</v>
      </c>
      <c r="F499" s="62">
        <v>-2000</v>
      </c>
      <c r="G499" s="10"/>
      <c r="H499" s="1"/>
      <c r="I499" s="30"/>
      <c r="J499" s="30"/>
    </row>
    <row r="500" spans="1:10" ht="15" x14ac:dyDescent="0.2">
      <c r="A500" s="1"/>
      <c r="B500" s="1"/>
      <c r="C500" s="1" t="s">
        <v>525</v>
      </c>
      <c r="D500" s="61"/>
      <c r="E500" s="62">
        <v>12500</v>
      </c>
      <c r="F500" s="62">
        <v>0</v>
      </c>
      <c r="G500" s="10"/>
      <c r="H500" s="1"/>
      <c r="I500" s="30"/>
      <c r="J500" s="30"/>
    </row>
    <row r="501" spans="1:10" ht="15" x14ac:dyDescent="0.2">
      <c r="A501" s="1"/>
      <c r="B501" s="1"/>
      <c r="C501" s="25"/>
      <c r="D501" s="1"/>
      <c r="E501" s="25"/>
      <c r="F501" s="25"/>
      <c r="G501" s="25"/>
      <c r="H501" s="1"/>
      <c r="I501" s="30"/>
      <c r="J501" s="30"/>
    </row>
    <row r="502" spans="1:10" ht="15" x14ac:dyDescent="0.2">
      <c r="A502" s="1"/>
      <c r="B502" s="1"/>
      <c r="C502" s="25" t="s">
        <v>80</v>
      </c>
      <c r="D502" s="1"/>
      <c r="E502" s="10">
        <f t="shared" ref="E502:F502" si="54">SUM(E498:E500)</f>
        <v>12500</v>
      </c>
      <c r="F502" s="10">
        <f t="shared" si="54"/>
        <v>-2800</v>
      </c>
      <c r="G502" s="10">
        <f>E502+F502</f>
        <v>9700</v>
      </c>
      <c r="H502" s="1"/>
      <c r="I502" s="30"/>
      <c r="J502" s="30"/>
    </row>
    <row r="503" spans="1:10" ht="15" x14ac:dyDescent="0.2">
      <c r="A503" s="1"/>
      <c r="B503" s="1"/>
      <c r="C503" s="25"/>
      <c r="D503" s="1"/>
      <c r="E503" s="25"/>
      <c r="F503" s="25"/>
      <c r="G503" s="25"/>
      <c r="H503" s="1"/>
      <c r="I503" s="30"/>
      <c r="J503" s="30"/>
    </row>
    <row r="504" spans="1:10" ht="15" x14ac:dyDescent="0.2">
      <c r="A504" s="1"/>
      <c r="B504" s="25" t="s">
        <v>526</v>
      </c>
      <c r="C504" s="1"/>
      <c r="D504" s="1"/>
      <c r="E504" s="34"/>
      <c r="F504" s="34"/>
      <c r="G504" s="10"/>
      <c r="H504" s="1"/>
      <c r="I504" s="30"/>
      <c r="J504" s="30"/>
    </row>
    <row r="505" spans="1:10" ht="15" x14ac:dyDescent="0.2">
      <c r="A505" s="1"/>
      <c r="B505" s="1"/>
      <c r="C505" s="1" t="s">
        <v>88</v>
      </c>
      <c r="D505" s="61"/>
      <c r="E505" s="62">
        <v>60000</v>
      </c>
      <c r="F505" s="62">
        <v>0</v>
      </c>
      <c r="G505" s="10"/>
      <c r="H505" s="1"/>
      <c r="I505" s="30"/>
      <c r="J505" s="30"/>
    </row>
    <row r="506" spans="1:10" ht="15" x14ac:dyDescent="0.2">
      <c r="A506" s="1"/>
      <c r="B506" s="1"/>
      <c r="C506" s="1" t="s">
        <v>94</v>
      </c>
      <c r="D506" s="61"/>
      <c r="E506" s="62">
        <v>0</v>
      </c>
      <c r="F506" s="62">
        <f>-(55000-88)</f>
        <v>-54912</v>
      </c>
      <c r="G506" s="10"/>
      <c r="H506" s="1"/>
      <c r="I506" s="30"/>
      <c r="J506" s="30"/>
    </row>
    <row r="507" spans="1:10" ht="15" x14ac:dyDescent="0.2">
      <c r="A507" s="1"/>
      <c r="B507" s="1"/>
      <c r="C507" s="1" t="s">
        <v>486</v>
      </c>
      <c r="D507" s="61"/>
      <c r="E507" s="62">
        <v>0</v>
      </c>
      <c r="F507" s="62">
        <v>-15000</v>
      </c>
      <c r="G507" s="10"/>
      <c r="H507" s="1"/>
      <c r="I507" s="30"/>
      <c r="J507" s="30"/>
    </row>
    <row r="508" spans="1:10" ht="15" x14ac:dyDescent="0.2">
      <c r="A508" s="1"/>
      <c r="B508" s="1"/>
      <c r="C508" s="1" t="s">
        <v>527</v>
      </c>
      <c r="D508" s="61"/>
      <c r="E508" s="62">
        <v>0</v>
      </c>
      <c r="F508" s="62">
        <v>-10000</v>
      </c>
      <c r="G508" s="10"/>
      <c r="H508" s="1"/>
      <c r="I508" s="30"/>
      <c r="J508" s="30"/>
    </row>
    <row r="509" spans="1:10" ht="15" x14ac:dyDescent="0.2">
      <c r="A509" s="1"/>
      <c r="B509" s="1"/>
      <c r="C509" s="1" t="s">
        <v>528</v>
      </c>
      <c r="D509" s="61"/>
      <c r="E509" s="62">
        <v>10000</v>
      </c>
      <c r="F509" s="62">
        <v>0</v>
      </c>
      <c r="G509" s="10"/>
      <c r="H509" s="1"/>
      <c r="I509" s="30"/>
      <c r="J509" s="30"/>
    </row>
    <row r="510" spans="1:10" ht="15" x14ac:dyDescent="0.2">
      <c r="A510" s="1"/>
      <c r="B510" s="1"/>
      <c r="C510" s="1" t="s">
        <v>151</v>
      </c>
      <c r="D510" s="61"/>
      <c r="E510" s="62">
        <v>0</v>
      </c>
      <c r="F510" s="62">
        <v>-50000</v>
      </c>
      <c r="G510" s="10"/>
      <c r="H510" s="1"/>
      <c r="I510" s="30"/>
      <c r="J510" s="30"/>
    </row>
    <row r="511" spans="1:10" ht="15" x14ac:dyDescent="0.2">
      <c r="A511" s="1"/>
      <c r="B511" s="1"/>
      <c r="C511" s="1" t="s">
        <v>529</v>
      </c>
      <c r="D511" s="61"/>
      <c r="E511" s="62">
        <v>0</v>
      </c>
      <c r="F511" s="62">
        <v>-5000</v>
      </c>
      <c r="G511" s="25"/>
      <c r="H511" s="1"/>
      <c r="I511" s="30"/>
      <c r="J511" s="30"/>
    </row>
    <row r="512" spans="1:10" ht="15" x14ac:dyDescent="0.2">
      <c r="A512" s="1"/>
      <c r="B512" s="1"/>
      <c r="C512" s="1" t="s">
        <v>96</v>
      </c>
      <c r="D512" s="61"/>
      <c r="E512" s="62">
        <v>0</v>
      </c>
      <c r="F512" s="62">
        <v>-1500</v>
      </c>
      <c r="G512" s="10"/>
      <c r="H512" s="1"/>
      <c r="I512" s="30"/>
      <c r="J512" s="30"/>
    </row>
    <row r="513" spans="1:10" ht="15" x14ac:dyDescent="0.2">
      <c r="A513" s="1"/>
      <c r="B513" s="1"/>
      <c r="C513" s="1" t="s">
        <v>99</v>
      </c>
      <c r="D513" s="61"/>
      <c r="E513" s="62">
        <v>0</v>
      </c>
      <c r="F513" s="62">
        <v>-2088</v>
      </c>
      <c r="G513" s="25"/>
      <c r="H513" s="1"/>
      <c r="I513" s="30"/>
      <c r="J513" s="30"/>
    </row>
    <row r="514" spans="1:10" ht="15" x14ac:dyDescent="0.2">
      <c r="A514" s="1"/>
      <c r="B514" s="1"/>
      <c r="C514" s="1" t="s">
        <v>261</v>
      </c>
      <c r="D514" s="61"/>
      <c r="E514" s="62">
        <v>0</v>
      </c>
      <c r="F514" s="62">
        <v>-1100</v>
      </c>
      <c r="G514" s="10"/>
      <c r="H514" s="1"/>
      <c r="I514" s="30"/>
      <c r="J514" s="30"/>
    </row>
    <row r="515" spans="1:10" ht="15" x14ac:dyDescent="0.2">
      <c r="A515" s="1"/>
      <c r="B515" s="1"/>
      <c r="C515" s="1" t="s">
        <v>175</v>
      </c>
      <c r="D515" s="61"/>
      <c r="E515" s="62">
        <v>0</v>
      </c>
      <c r="F515" s="62">
        <v>-1300</v>
      </c>
      <c r="G515" s="25"/>
      <c r="H515" s="1"/>
      <c r="I515" s="30"/>
      <c r="J515" s="30"/>
    </row>
    <row r="516" spans="1:10" ht="15" x14ac:dyDescent="0.2">
      <c r="A516" s="1"/>
      <c r="B516" s="1"/>
      <c r="C516" s="1" t="s">
        <v>97</v>
      </c>
      <c r="D516" s="61"/>
      <c r="E516" s="62">
        <v>0</v>
      </c>
      <c r="F516" s="62">
        <v>-1000</v>
      </c>
      <c r="G516" s="25"/>
      <c r="H516" s="1"/>
      <c r="I516" s="30"/>
      <c r="J516" s="30"/>
    </row>
    <row r="517" spans="1:10" ht="15" x14ac:dyDescent="0.2">
      <c r="A517" s="1"/>
      <c r="B517" s="1"/>
      <c r="C517" s="1" t="s">
        <v>98</v>
      </c>
      <c r="D517" s="61"/>
      <c r="E517" s="62">
        <v>0</v>
      </c>
      <c r="F517" s="62">
        <v>-1000</v>
      </c>
      <c r="G517" s="25"/>
      <c r="H517" s="1"/>
      <c r="I517" s="30"/>
      <c r="J517" s="30"/>
    </row>
    <row r="518" spans="1:10" ht="15" x14ac:dyDescent="0.2">
      <c r="A518" s="1"/>
      <c r="B518" s="1"/>
      <c r="C518" s="1" t="s">
        <v>530</v>
      </c>
      <c r="D518" s="61"/>
      <c r="E518" s="62">
        <v>0</v>
      </c>
      <c r="F518" s="62">
        <v>-10500</v>
      </c>
      <c r="G518" s="25"/>
      <c r="H518" s="1"/>
      <c r="I518" s="30"/>
      <c r="J518" s="30"/>
    </row>
    <row r="519" spans="1:10" ht="15" x14ac:dyDescent="0.2">
      <c r="A519" s="1"/>
      <c r="B519" s="1"/>
      <c r="C519" s="1" t="s">
        <v>212</v>
      </c>
      <c r="D519" s="61"/>
      <c r="E519" s="62">
        <v>0</v>
      </c>
      <c r="F519" s="62">
        <v>-4000</v>
      </c>
      <c r="G519" s="25"/>
      <c r="H519" s="1"/>
      <c r="I519" s="30"/>
      <c r="J519" s="30"/>
    </row>
    <row r="520" spans="1:10" ht="15" x14ac:dyDescent="0.2">
      <c r="A520" s="1"/>
      <c r="B520" s="1"/>
      <c r="C520" s="25"/>
      <c r="D520" s="1"/>
      <c r="E520" s="25"/>
      <c r="F520" s="25"/>
      <c r="G520" s="25"/>
      <c r="H520" s="1"/>
      <c r="I520" s="30"/>
      <c r="J520" s="30"/>
    </row>
    <row r="521" spans="1:10" ht="15" x14ac:dyDescent="0.2">
      <c r="A521" s="1"/>
      <c r="B521" s="1"/>
      <c r="C521" s="25" t="s">
        <v>80</v>
      </c>
      <c r="D521" s="1"/>
      <c r="E521" s="10">
        <f t="shared" ref="E521:F521" si="55">SUM(E505:E519)</f>
        <v>70000</v>
      </c>
      <c r="F521" s="10">
        <f t="shared" si="55"/>
        <v>-157400</v>
      </c>
      <c r="G521" s="10">
        <f>E521+F521</f>
        <v>-87400</v>
      </c>
      <c r="H521" s="1"/>
      <c r="I521" s="30"/>
      <c r="J521" s="30"/>
    </row>
    <row r="522" spans="1:10" ht="15" x14ac:dyDescent="0.2">
      <c r="A522" s="1"/>
      <c r="B522" s="1"/>
      <c r="C522" s="25"/>
      <c r="D522" s="1"/>
      <c r="E522" s="25"/>
      <c r="F522" s="25"/>
      <c r="G522" s="25"/>
      <c r="H522" s="1"/>
      <c r="I522" s="30"/>
      <c r="J522" s="30"/>
    </row>
    <row r="523" spans="1:10" ht="15" x14ac:dyDescent="0.2">
      <c r="A523" s="1"/>
      <c r="B523" s="25" t="s">
        <v>531</v>
      </c>
      <c r="C523" s="1"/>
      <c r="D523" s="1"/>
      <c r="E523" s="34"/>
      <c r="F523" s="34"/>
      <c r="G523" s="10"/>
      <c r="H523" s="1"/>
      <c r="I523" s="30"/>
      <c r="J523" s="30"/>
    </row>
    <row r="524" spans="1:10" ht="15" x14ac:dyDescent="0.2">
      <c r="A524" s="1"/>
      <c r="B524" s="1"/>
      <c r="C524" s="1" t="s">
        <v>532</v>
      </c>
      <c r="D524" s="61"/>
      <c r="E524" s="62">
        <v>0</v>
      </c>
      <c r="F524" s="62">
        <v>-400</v>
      </c>
      <c r="G524" s="10"/>
      <c r="H524" s="1"/>
      <c r="I524" s="30"/>
      <c r="J524" s="30"/>
    </row>
    <row r="525" spans="1:10" ht="15" x14ac:dyDescent="0.2">
      <c r="A525" s="1"/>
      <c r="B525" s="1"/>
      <c r="C525" s="25"/>
      <c r="D525" s="1"/>
      <c r="E525" s="25"/>
      <c r="F525" s="25"/>
      <c r="G525" s="25"/>
      <c r="H525" s="1"/>
      <c r="I525" s="30"/>
      <c r="J525" s="30"/>
    </row>
    <row r="526" spans="1:10" ht="15" x14ac:dyDescent="0.2">
      <c r="A526" s="1"/>
      <c r="B526" s="1"/>
      <c r="C526" s="25" t="s">
        <v>80</v>
      </c>
      <c r="D526" s="1"/>
      <c r="E526" s="10">
        <f t="shared" ref="E526:F526" si="56">SUM(E524)</f>
        <v>0</v>
      </c>
      <c r="F526" s="10">
        <f t="shared" si="56"/>
        <v>-400</v>
      </c>
      <c r="G526" s="10">
        <f>E526+F526</f>
        <v>-400</v>
      </c>
      <c r="H526" s="1"/>
      <c r="I526" s="30"/>
      <c r="J526" s="30"/>
    </row>
    <row r="527" spans="1:10" ht="15" x14ac:dyDescent="0.2">
      <c r="A527" s="1"/>
      <c r="B527" s="1"/>
      <c r="C527" s="25"/>
      <c r="D527" s="1"/>
      <c r="E527" s="25"/>
      <c r="F527" s="25"/>
      <c r="G527" s="25"/>
      <c r="H527" s="1"/>
      <c r="I527" s="30"/>
      <c r="J527" s="30"/>
    </row>
    <row r="528" spans="1:10" ht="15" x14ac:dyDescent="0.2">
      <c r="A528" s="1"/>
      <c r="B528" s="1"/>
      <c r="C528" s="25" t="s">
        <v>102</v>
      </c>
      <c r="D528" s="1"/>
      <c r="E528" s="8">
        <f t="shared" ref="E528:F528" si="57">SUMIFS(E2:E528,$C2:$C528,"Subsubtotal")</f>
        <v>557600</v>
      </c>
      <c r="F528" s="8">
        <f t="shared" si="57"/>
        <v>-1359920</v>
      </c>
      <c r="G528" s="10">
        <f>SUM(E528:F528)</f>
        <v>-802320</v>
      </c>
      <c r="H528" s="1"/>
      <c r="I528" s="30"/>
      <c r="J528" s="30"/>
    </row>
    <row r="529" spans="1:10" ht="15" x14ac:dyDescent="0.2">
      <c r="A529" s="1"/>
      <c r="B529" s="1"/>
      <c r="C529" s="25"/>
      <c r="D529" s="1"/>
      <c r="E529" s="10"/>
      <c r="F529" s="10"/>
      <c r="G529" s="10"/>
      <c r="H529" s="30"/>
      <c r="I529" s="30"/>
      <c r="J529" s="30"/>
    </row>
  </sheetData>
  <conditionalFormatting sqref="E2:G529">
    <cfRule type="cellIs" dxfId="64" priority="1" operator="greaterThan">
      <formula>0</formula>
    </cfRule>
    <cfRule type="cellIs" dxfId="63" priority="2" operator="lessThan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752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533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1"/>
      <c r="J3" s="1"/>
      <c r="K3" s="1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534</v>
      </c>
      <c r="D4" s="1" t="s">
        <v>358</v>
      </c>
      <c r="E4" s="10">
        <v>0</v>
      </c>
      <c r="F4" s="10">
        <v>-12500</v>
      </c>
      <c r="G4" s="10"/>
      <c r="H4" s="1"/>
      <c r="I4" s="1"/>
      <c r="J4" s="1"/>
      <c r="K4" s="1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 t="s">
        <v>138</v>
      </c>
      <c r="D5" s="1">
        <v>5420</v>
      </c>
      <c r="E5" s="10">
        <v>0</v>
      </c>
      <c r="F5" s="10">
        <v>-16000</v>
      </c>
      <c r="G5" s="10"/>
      <c r="H5" s="1" t="s">
        <v>535</v>
      </c>
      <c r="I5" s="1"/>
      <c r="J5" s="1"/>
      <c r="K5" s="1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1" t="s">
        <v>536</v>
      </c>
      <c r="D6" s="1">
        <v>6040</v>
      </c>
      <c r="E6" s="10">
        <v>0</v>
      </c>
      <c r="F6" s="10">
        <v>-1000</v>
      </c>
      <c r="G6" s="10"/>
      <c r="H6" s="1"/>
      <c r="I6" s="1"/>
      <c r="J6" s="1"/>
      <c r="K6" s="1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/>
      <c r="D7" s="1"/>
      <c r="E7" s="10"/>
      <c r="F7" s="10"/>
      <c r="G7" s="10"/>
      <c r="H7" s="1"/>
      <c r="I7" s="1"/>
      <c r="J7" s="1"/>
      <c r="K7" s="1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25" t="s">
        <v>80</v>
      </c>
      <c r="D8" s="1"/>
      <c r="E8" s="10">
        <f t="shared" ref="E8:F8" si="0">SUM(E4:E6)</f>
        <v>0</v>
      </c>
      <c r="F8" s="10">
        <f t="shared" si="0"/>
        <v>-29500</v>
      </c>
      <c r="G8" s="10">
        <f>E8+F8</f>
        <v>-29500</v>
      </c>
      <c r="H8" s="1"/>
      <c r="I8" s="1"/>
      <c r="J8" s="1"/>
      <c r="K8" s="1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1"/>
      <c r="D9" s="1"/>
      <c r="E9" s="10"/>
      <c r="F9" s="10"/>
      <c r="G9" s="10"/>
      <c r="H9" s="1"/>
      <c r="I9" s="1"/>
      <c r="J9" s="1"/>
      <c r="K9" s="1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25" t="s">
        <v>81</v>
      </c>
      <c r="C10" s="1"/>
      <c r="D10" s="1"/>
      <c r="E10" s="1"/>
      <c r="F10" s="1"/>
      <c r="G10" s="1"/>
      <c r="H10" s="1"/>
      <c r="I10" s="1"/>
      <c r="J10" s="1"/>
      <c r="K10" s="1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1"/>
      <c r="C11" s="1" t="s">
        <v>83</v>
      </c>
      <c r="D11" s="1">
        <v>7691</v>
      </c>
      <c r="E11" s="10">
        <v>0</v>
      </c>
      <c r="F11" s="10">
        <v>-7200</v>
      </c>
      <c r="G11" s="10"/>
      <c r="H11" s="1"/>
      <c r="I11" s="1"/>
      <c r="J11" s="1"/>
      <c r="K11" s="1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 t="s">
        <v>82</v>
      </c>
      <c r="D12" s="1">
        <v>7631</v>
      </c>
      <c r="E12" s="10">
        <v>0</v>
      </c>
      <c r="F12" s="10">
        <v>-12000</v>
      </c>
      <c r="G12" s="10"/>
      <c r="H12" s="1"/>
      <c r="I12" s="1"/>
      <c r="J12" s="1"/>
      <c r="K12" s="1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 t="s">
        <v>131</v>
      </c>
      <c r="D13" s="1">
        <v>7630</v>
      </c>
      <c r="E13" s="10">
        <v>0</v>
      </c>
      <c r="F13" s="10">
        <v>-1000</v>
      </c>
      <c r="G13" s="10"/>
      <c r="H13" s="1"/>
      <c r="I13" s="1"/>
      <c r="J13" s="1"/>
      <c r="K13" s="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25"/>
      <c r="C14" s="1" t="s">
        <v>132</v>
      </c>
      <c r="D14" s="1">
        <v>5931</v>
      </c>
      <c r="E14" s="10">
        <v>0</v>
      </c>
      <c r="F14" s="10">
        <v>-6000</v>
      </c>
      <c r="G14" s="10"/>
      <c r="H14" s="1"/>
      <c r="I14" s="1"/>
      <c r="J14" s="1"/>
      <c r="K14" s="1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/>
      <c r="D15" s="1"/>
      <c r="E15" s="10"/>
      <c r="F15" s="10"/>
      <c r="G15" s="10"/>
      <c r="H15" s="1"/>
      <c r="I15" s="1"/>
      <c r="J15" s="1"/>
      <c r="K15" s="1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1"/>
      <c r="C16" s="25" t="s">
        <v>80</v>
      </c>
      <c r="D16" s="1"/>
      <c r="E16" s="10">
        <f t="shared" ref="E16:F16" si="1">SUM(E11:E14)</f>
        <v>0</v>
      </c>
      <c r="F16" s="10">
        <f t="shared" si="1"/>
        <v>-26200</v>
      </c>
      <c r="G16" s="10">
        <f>E16+F16</f>
        <v>-26200</v>
      </c>
      <c r="H16" s="1"/>
      <c r="I16" s="1"/>
      <c r="J16" s="1"/>
      <c r="K16" s="1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1"/>
      <c r="D17" s="1"/>
      <c r="E17" s="10"/>
      <c r="F17" s="10"/>
      <c r="G17" s="10"/>
      <c r="H17" s="1"/>
      <c r="I17" s="1"/>
      <c r="J17" s="1"/>
      <c r="K17" s="1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25" t="s">
        <v>136</v>
      </c>
      <c r="C18" s="1"/>
      <c r="D18" s="1"/>
      <c r="E18" s="10"/>
      <c r="F18" s="10"/>
      <c r="G18" s="10"/>
      <c r="H18" s="1"/>
      <c r="I18" s="1"/>
      <c r="J18" s="1"/>
      <c r="K18" s="1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1" t="s">
        <v>172</v>
      </c>
      <c r="D19" s="1">
        <v>4029</v>
      </c>
      <c r="E19" s="10">
        <v>0</v>
      </c>
      <c r="F19" s="10">
        <v>-3000</v>
      </c>
      <c r="G19" s="10"/>
      <c r="H19" s="1" t="s">
        <v>537</v>
      </c>
      <c r="I19" s="1"/>
      <c r="J19" s="1"/>
      <c r="K19" s="1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1" t="s">
        <v>151</v>
      </c>
      <c r="D20" s="1">
        <v>5010</v>
      </c>
      <c r="E20" s="10">
        <v>0</v>
      </c>
      <c r="F20" s="10">
        <v>-2000</v>
      </c>
      <c r="G20" s="10"/>
      <c r="H20" s="1"/>
      <c r="I20" s="1"/>
      <c r="J20" s="1"/>
      <c r="K20" s="1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1"/>
      <c r="C21" s="1"/>
      <c r="D21" s="1"/>
      <c r="E21" s="10"/>
      <c r="F21" s="10"/>
      <c r="G21" s="10"/>
      <c r="H21" s="1"/>
      <c r="I21" s="1"/>
      <c r="J21" s="1"/>
      <c r="K21" s="1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1"/>
      <c r="C22" s="25" t="s">
        <v>80</v>
      </c>
      <c r="D22" s="1"/>
      <c r="E22" s="10">
        <f t="shared" ref="E22:F22" si="2">SUM(E19:E20)</f>
        <v>0</v>
      </c>
      <c r="F22" s="10">
        <f t="shared" si="2"/>
        <v>-5000</v>
      </c>
      <c r="G22" s="10">
        <f>E22+F22</f>
        <v>-5000</v>
      </c>
      <c r="H22" s="1"/>
      <c r="I22" s="1"/>
      <c r="J22" s="1"/>
      <c r="K22" s="1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x14ac:dyDescent="0.2">
      <c r="A24" s="1"/>
      <c r="B24" s="25" t="s">
        <v>538</v>
      </c>
      <c r="C24" s="25"/>
      <c r="D24" s="1"/>
      <c r="E24" s="10"/>
      <c r="F24" s="10"/>
      <c r="G24" s="10"/>
      <c r="H24" s="1"/>
      <c r="I24" s="1"/>
      <c r="J24" s="1"/>
      <c r="K24" s="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1"/>
      <c r="B25" s="25"/>
      <c r="C25" s="1" t="s">
        <v>539</v>
      </c>
      <c r="D25" s="1">
        <v>3053</v>
      </c>
      <c r="E25" s="10">
        <v>90000</v>
      </c>
      <c r="F25" s="10">
        <v>0</v>
      </c>
      <c r="G25" s="10"/>
      <c r="H25" s="1"/>
      <c r="I25" s="1" t="s">
        <v>540</v>
      </c>
      <c r="J25" s="1"/>
      <c r="K25" s="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1"/>
      <c r="B26" s="25"/>
      <c r="C26" s="1" t="s">
        <v>534</v>
      </c>
      <c r="D26" s="1">
        <v>4054</v>
      </c>
      <c r="E26" s="10">
        <v>0</v>
      </c>
      <c r="F26" s="10">
        <v>-7500</v>
      </c>
      <c r="G26" s="10"/>
      <c r="H26" s="1" t="s">
        <v>541</v>
      </c>
      <c r="I26" s="1"/>
      <c r="J26" s="1"/>
      <c r="K26" s="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1"/>
      <c r="B27" s="1"/>
      <c r="C27" s="1"/>
      <c r="D27" s="1"/>
      <c r="E27" s="10"/>
      <c r="F27" s="10"/>
      <c r="G27" s="10"/>
      <c r="H27" s="1"/>
      <c r="I27" s="1"/>
      <c r="J27" s="1"/>
      <c r="K27" s="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" x14ac:dyDescent="0.2">
      <c r="A28" s="1"/>
      <c r="B28" s="1"/>
      <c r="C28" s="25" t="s">
        <v>80</v>
      </c>
      <c r="D28" s="1"/>
      <c r="E28" s="10">
        <f t="shared" ref="E28:F28" si="3">SUM(E25:E26)</f>
        <v>90000</v>
      </c>
      <c r="F28" s="10">
        <f t="shared" si="3"/>
        <v>-7500</v>
      </c>
      <c r="G28" s="10">
        <f>E28+F28</f>
        <v>82500</v>
      </c>
      <c r="H28" s="1"/>
      <c r="I28" s="1"/>
      <c r="J28" s="1"/>
      <c r="K28" s="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" x14ac:dyDescent="0.2">
      <c r="A29" s="1"/>
      <c r="B29" s="1"/>
      <c r="C29" s="1"/>
      <c r="D29" s="1"/>
      <c r="E29" s="10"/>
      <c r="F29" s="10"/>
      <c r="G29" s="10"/>
      <c r="H29" s="1"/>
      <c r="I29" s="1"/>
      <c r="J29" s="1"/>
      <c r="K29" s="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" x14ac:dyDescent="0.2">
      <c r="A30" s="1"/>
      <c r="B30" s="25" t="s">
        <v>542</v>
      </c>
      <c r="C30" s="1"/>
      <c r="D30" s="1"/>
      <c r="E30" s="10"/>
      <c r="F30" s="10"/>
      <c r="G30" s="10"/>
      <c r="H30" s="1"/>
      <c r="I30" s="1"/>
      <c r="J30" s="1"/>
      <c r="K30" s="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" x14ac:dyDescent="0.2">
      <c r="A31" s="1"/>
      <c r="B31" s="1"/>
      <c r="C31" s="1" t="s">
        <v>539</v>
      </c>
      <c r="D31" s="1">
        <v>3052</v>
      </c>
      <c r="E31" s="10">
        <v>90000</v>
      </c>
      <c r="F31" s="10">
        <v>0</v>
      </c>
      <c r="G31" s="10"/>
      <c r="H31" s="1" t="s">
        <v>543</v>
      </c>
      <c r="I31" s="1"/>
      <c r="J31" s="1"/>
      <c r="K31" s="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" x14ac:dyDescent="0.2">
      <c r="A32" s="1"/>
      <c r="B32" s="1"/>
      <c r="C32" s="1"/>
      <c r="D32" s="1"/>
      <c r="E32" s="10"/>
      <c r="F32" s="10"/>
      <c r="G32" s="10"/>
      <c r="H32" s="1"/>
      <c r="I32" s="1"/>
      <c r="J32" s="1"/>
      <c r="K32" s="1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x14ac:dyDescent="0.2">
      <c r="A33" s="1"/>
      <c r="B33" s="1"/>
      <c r="C33" s="25" t="s">
        <v>80</v>
      </c>
      <c r="D33" s="1"/>
      <c r="E33" s="10">
        <f t="shared" ref="E33:F33" si="4">E31</f>
        <v>90000</v>
      </c>
      <c r="F33" s="10">
        <f t="shared" si="4"/>
        <v>0</v>
      </c>
      <c r="G33" s="10">
        <f>E33+F33</f>
        <v>90000</v>
      </c>
      <c r="H33" s="1"/>
      <c r="I33" s="1"/>
      <c r="J33" s="1"/>
      <c r="K33" s="1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x14ac:dyDescent="0.2">
      <c r="A34" s="1"/>
      <c r="B34" s="1"/>
      <c r="C34" s="1"/>
      <c r="D34" s="1"/>
      <c r="E34" s="10"/>
      <c r="F34" s="10"/>
      <c r="G34" s="10"/>
      <c r="H34" s="1"/>
      <c r="I34" s="1"/>
      <c r="J34" s="1"/>
      <c r="K34" s="1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x14ac:dyDescent="0.2">
      <c r="A35" s="1"/>
      <c r="B35" s="25" t="s">
        <v>544</v>
      </c>
      <c r="C35" s="1"/>
      <c r="D35" s="1"/>
      <c r="E35" s="34"/>
      <c r="F35" s="34"/>
      <c r="G35" s="1"/>
      <c r="H35" s="1"/>
      <c r="I35" s="1" t="s">
        <v>545</v>
      </c>
      <c r="J35" s="1"/>
      <c r="K35" s="1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" x14ac:dyDescent="0.2">
      <c r="A36" s="1"/>
      <c r="B36" s="1"/>
      <c r="C36" s="1" t="s">
        <v>546</v>
      </c>
      <c r="D36" s="1">
        <v>3052</v>
      </c>
      <c r="E36" s="62">
        <f>34500*3</f>
        <v>103500</v>
      </c>
      <c r="F36" s="62">
        <v>0</v>
      </c>
      <c r="G36" s="10"/>
      <c r="H36" s="1"/>
      <c r="I36" s="1"/>
      <c r="J36" s="1"/>
      <c r="K36" s="1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" x14ac:dyDescent="0.2">
      <c r="A37" s="1"/>
      <c r="B37" s="1"/>
      <c r="C37" s="1" t="s">
        <v>169</v>
      </c>
      <c r="D37" s="1" t="s">
        <v>547</v>
      </c>
      <c r="E37" s="62">
        <f>7500*3</f>
        <v>22500</v>
      </c>
      <c r="F37" s="62">
        <v>0</v>
      </c>
      <c r="G37" s="10"/>
      <c r="H37" s="1"/>
      <c r="I37" s="1"/>
      <c r="J37" s="1"/>
      <c r="K37" s="1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" x14ac:dyDescent="0.2">
      <c r="A38" s="1"/>
      <c r="B38" s="1"/>
      <c r="C38" s="1" t="s">
        <v>548</v>
      </c>
      <c r="D38" s="1" t="s">
        <v>549</v>
      </c>
      <c r="E38" s="62">
        <v>0</v>
      </c>
      <c r="F38" s="62">
        <v>-18750</v>
      </c>
      <c r="G38" s="1"/>
      <c r="H38" s="1"/>
      <c r="I38" s="1"/>
      <c r="J38" s="1"/>
      <c r="K38" s="1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" x14ac:dyDescent="0.2">
      <c r="A39" s="1"/>
      <c r="B39" s="1"/>
      <c r="C39" s="1" t="s">
        <v>550</v>
      </c>
      <c r="D39" s="1">
        <v>6150</v>
      </c>
      <c r="E39" s="62">
        <v>0</v>
      </c>
      <c r="F39" s="62">
        <v>-2500</v>
      </c>
      <c r="G39" s="10"/>
      <c r="H39" s="1"/>
      <c r="I39" s="1"/>
      <c r="J39" s="1"/>
      <c r="K39" s="1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" x14ac:dyDescent="0.2">
      <c r="A40" s="1"/>
      <c r="B40" s="1"/>
      <c r="C40" s="1" t="s">
        <v>172</v>
      </c>
      <c r="D40" s="1">
        <v>4029</v>
      </c>
      <c r="E40" s="62">
        <v>0</v>
      </c>
      <c r="F40" s="62">
        <v>-39000</v>
      </c>
      <c r="G40" s="10"/>
      <c r="H40" s="1"/>
      <c r="I40" s="1"/>
      <c r="J40" s="1"/>
      <c r="K40" s="1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x14ac:dyDescent="0.2">
      <c r="A41" s="1"/>
      <c r="B41" s="1"/>
      <c r="C41" s="1"/>
      <c r="D41" s="1"/>
      <c r="E41" s="34"/>
      <c r="F41" s="34"/>
      <c r="G41" s="10"/>
      <c r="H41" s="1"/>
      <c r="I41" s="1"/>
      <c r="J41" s="1"/>
      <c r="K41" s="1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x14ac:dyDescent="0.2">
      <c r="A42" s="1"/>
      <c r="B42" s="1"/>
      <c r="C42" s="25" t="s">
        <v>80</v>
      </c>
      <c r="D42" s="1"/>
      <c r="E42" s="10">
        <f t="shared" ref="E42:F42" si="5">SUM(E36:E40)</f>
        <v>126000</v>
      </c>
      <c r="F42" s="10">
        <f t="shared" si="5"/>
        <v>-60250</v>
      </c>
      <c r="G42" s="10">
        <f>E42+F42</f>
        <v>65750</v>
      </c>
      <c r="H42" s="1"/>
      <c r="I42" s="1"/>
      <c r="J42" s="1"/>
      <c r="K42" s="1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" x14ac:dyDescent="0.2">
      <c r="A43" s="1"/>
      <c r="B43" s="1"/>
      <c r="C43" s="1"/>
      <c r="D43" s="1"/>
      <c r="E43" s="10"/>
      <c r="F43" s="10"/>
      <c r="G43" s="10"/>
      <c r="H43" s="1"/>
      <c r="I43" s="1"/>
      <c r="J43" s="1"/>
      <c r="K43" s="1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" x14ac:dyDescent="0.2">
      <c r="A44" s="1"/>
      <c r="B44" s="25" t="s">
        <v>122</v>
      </c>
      <c r="C44" s="1"/>
      <c r="D44" s="1"/>
      <c r="E44" s="10"/>
      <c r="F44" s="10"/>
      <c r="G44" s="10"/>
      <c r="H44" s="1"/>
      <c r="I44" s="1" t="s">
        <v>545</v>
      </c>
      <c r="J44" s="1"/>
      <c r="K44" s="1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" x14ac:dyDescent="0.2">
      <c r="A45" s="1"/>
      <c r="B45" s="1"/>
      <c r="C45" s="1" t="s">
        <v>546</v>
      </c>
      <c r="D45" s="1">
        <v>3052</v>
      </c>
      <c r="E45" s="10">
        <v>222000</v>
      </c>
      <c r="F45" s="10">
        <v>0</v>
      </c>
      <c r="G45" s="10"/>
      <c r="H45" s="1"/>
      <c r="I45" s="1"/>
      <c r="J45" s="1"/>
      <c r="K45" s="1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" x14ac:dyDescent="0.2">
      <c r="A46" s="1"/>
      <c r="B46" s="1"/>
      <c r="C46" s="1" t="s">
        <v>151</v>
      </c>
      <c r="D46" s="1">
        <v>5010</v>
      </c>
      <c r="E46" s="10">
        <v>0</v>
      </c>
      <c r="F46" s="10">
        <v>-6000</v>
      </c>
      <c r="G46" s="10"/>
      <c r="H46" s="1"/>
      <c r="I46" s="1"/>
      <c r="J46" s="1"/>
      <c r="K46" s="1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" x14ac:dyDescent="0.2">
      <c r="A47" s="1"/>
      <c r="B47" s="1"/>
      <c r="C47" s="1" t="s">
        <v>172</v>
      </c>
      <c r="D47" s="1">
        <v>4029</v>
      </c>
      <c r="E47" s="10">
        <v>0</v>
      </c>
      <c r="F47" s="10">
        <v>-90000</v>
      </c>
      <c r="G47" s="10"/>
      <c r="H47" s="1"/>
      <c r="I47" s="1"/>
      <c r="J47" s="1"/>
      <c r="K47" s="1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" x14ac:dyDescent="0.2">
      <c r="A48" s="1"/>
      <c r="B48" s="1"/>
      <c r="C48" s="1"/>
      <c r="D48" s="1"/>
      <c r="E48" s="10"/>
      <c r="F48" s="10"/>
      <c r="G48" s="10"/>
      <c r="H48" s="1"/>
      <c r="I48" s="1"/>
      <c r="J48" s="1"/>
      <c r="K48" s="1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" x14ac:dyDescent="0.2">
      <c r="A49" s="1"/>
      <c r="B49" s="1"/>
      <c r="C49" s="25" t="s">
        <v>80</v>
      </c>
      <c r="D49" s="1"/>
      <c r="E49" s="10">
        <f t="shared" ref="E49:F49" si="6">SUM(E45:E47)</f>
        <v>222000</v>
      </c>
      <c r="F49" s="10">
        <f t="shared" si="6"/>
        <v>-96000</v>
      </c>
      <c r="G49" s="10">
        <f>E49+F49</f>
        <v>126000</v>
      </c>
      <c r="H49" s="1"/>
      <c r="I49" s="1"/>
      <c r="J49" s="1"/>
      <c r="K49" s="1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" x14ac:dyDescent="0.2">
      <c r="A50" s="1"/>
      <c r="B50" s="1"/>
      <c r="C50" s="1"/>
      <c r="D50" s="1"/>
      <c r="E50" s="10"/>
      <c r="F50" s="10"/>
      <c r="G50" s="10"/>
      <c r="H50" s="1"/>
      <c r="I50" s="1"/>
      <c r="J50" s="1"/>
      <c r="K50" s="1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" x14ac:dyDescent="0.2">
      <c r="A51" s="1"/>
      <c r="B51" s="1"/>
      <c r="C51" s="25" t="s">
        <v>102</v>
      </c>
      <c r="D51" s="1"/>
      <c r="E51" s="8">
        <f t="shared" ref="E51:F51" si="7">SUMIFS(E2:E50,$C2:$C50,"Subsubtotal")</f>
        <v>528000</v>
      </c>
      <c r="F51" s="31">
        <f t="shared" si="7"/>
        <v>-224450</v>
      </c>
      <c r="G51" s="10">
        <f>SUM(G2:G50)</f>
        <v>303550</v>
      </c>
      <c r="H51" s="1"/>
      <c r="I51" s="1"/>
      <c r="J51" s="1"/>
      <c r="K51" s="1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" x14ac:dyDescent="0.2">
      <c r="A52" s="1"/>
      <c r="B52" s="1"/>
      <c r="C52" s="1"/>
      <c r="D52" s="1"/>
      <c r="E52" s="10"/>
      <c r="F52" s="10"/>
      <c r="G52" s="10"/>
      <c r="H52" s="1"/>
      <c r="I52" s="1"/>
      <c r="J52" s="1"/>
      <c r="K52" s="1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" x14ac:dyDescent="0.2">
      <c r="A53" s="1"/>
      <c r="B53" s="1"/>
      <c r="C53" s="1"/>
      <c r="D53" s="1"/>
      <c r="E53" s="10"/>
      <c r="F53" s="10"/>
      <c r="G53" s="10"/>
      <c r="H53" s="1"/>
      <c r="I53" s="1"/>
      <c r="J53" s="1"/>
      <c r="K53" s="1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" x14ac:dyDescent="0.2">
      <c r="A54" s="1"/>
      <c r="B54" s="1"/>
      <c r="C54" s="1"/>
      <c r="D54" s="1"/>
      <c r="E54" s="10"/>
      <c r="F54" s="10"/>
      <c r="G54" s="10"/>
      <c r="H54" s="1"/>
      <c r="I54" s="1"/>
      <c r="J54" s="1"/>
      <c r="K54" s="1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" x14ac:dyDescent="0.2">
      <c r="A55" s="1"/>
      <c r="B55" s="1"/>
      <c r="C55" s="1"/>
      <c r="D55" s="1"/>
      <c r="E55" s="10"/>
      <c r="F55" s="10"/>
      <c r="G55" s="10"/>
      <c r="H55" s="1"/>
      <c r="I55" s="1"/>
      <c r="J55" s="1"/>
      <c r="K55" s="1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" x14ac:dyDescent="0.2">
      <c r="A56" s="28"/>
      <c r="B56" s="28"/>
      <c r="C56" s="28"/>
      <c r="D56" s="28"/>
      <c r="E56" s="10"/>
      <c r="F56" s="10"/>
      <c r="G56" s="1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" x14ac:dyDescent="0.2">
      <c r="A57" s="28"/>
      <c r="B57" s="28"/>
      <c r="C57" s="28"/>
      <c r="D57" s="28"/>
      <c r="E57" s="10"/>
      <c r="F57" s="10"/>
      <c r="G57" s="1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" x14ac:dyDescent="0.2">
      <c r="A58" s="28"/>
      <c r="B58" s="28"/>
      <c r="C58" s="28"/>
      <c r="D58" s="28"/>
      <c r="E58" s="10"/>
      <c r="F58" s="10"/>
      <c r="G58" s="1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" x14ac:dyDescent="0.2">
      <c r="A59" s="28"/>
      <c r="B59" s="28"/>
      <c r="C59" s="28"/>
      <c r="D59" s="28"/>
      <c r="E59" s="10"/>
      <c r="F59" s="10"/>
      <c r="G59" s="1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" x14ac:dyDescent="0.2">
      <c r="A60" s="28"/>
      <c r="B60" s="28"/>
      <c r="C60" s="28"/>
      <c r="D60" s="28"/>
      <c r="E60" s="10"/>
      <c r="F60" s="10"/>
      <c r="G60" s="1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" x14ac:dyDescent="0.2">
      <c r="A61" s="28"/>
      <c r="B61" s="28"/>
      <c r="C61" s="28"/>
      <c r="D61" s="28"/>
      <c r="E61" s="10"/>
      <c r="F61" s="10"/>
      <c r="G61" s="1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" x14ac:dyDescent="0.2">
      <c r="A62" s="28"/>
      <c r="B62" s="28"/>
      <c r="C62" s="28"/>
      <c r="D62" s="28"/>
      <c r="E62" s="10"/>
      <c r="F62" s="10"/>
      <c r="G62" s="1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" x14ac:dyDescent="0.2">
      <c r="A63" s="28"/>
      <c r="B63" s="28"/>
      <c r="C63" s="28"/>
      <c r="D63" s="28"/>
      <c r="E63" s="10"/>
      <c r="F63" s="10"/>
      <c r="G63" s="1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" x14ac:dyDescent="0.2">
      <c r="A64" s="28"/>
      <c r="B64" s="28"/>
      <c r="C64" s="28"/>
      <c r="D64" s="28"/>
      <c r="E64" s="10"/>
      <c r="F64" s="10"/>
      <c r="G64" s="1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4" x14ac:dyDescent="0.2">
      <c r="A65" s="28"/>
      <c r="B65" s="28"/>
      <c r="C65" s="28"/>
      <c r="D65" s="28"/>
      <c r="E65" s="10"/>
      <c r="F65" s="10"/>
      <c r="G65" s="1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4" x14ac:dyDescent="0.2">
      <c r="A66" s="28"/>
      <c r="B66" s="28"/>
      <c r="C66" s="28"/>
      <c r="D66" s="28"/>
      <c r="E66" s="10"/>
      <c r="F66" s="10"/>
      <c r="G66" s="1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4" x14ac:dyDescent="0.2">
      <c r="A67" s="28"/>
      <c r="B67" s="28"/>
      <c r="C67" s="28"/>
      <c r="D67" s="28"/>
      <c r="E67" s="10"/>
      <c r="F67" s="10"/>
      <c r="G67" s="1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4" x14ac:dyDescent="0.2">
      <c r="A68" s="28"/>
      <c r="B68" s="28"/>
      <c r="C68" s="28"/>
      <c r="D68" s="28"/>
      <c r="E68" s="10"/>
      <c r="F68" s="10"/>
      <c r="G68" s="1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4" x14ac:dyDescent="0.2">
      <c r="A69" s="28"/>
      <c r="B69" s="28"/>
      <c r="C69" s="28"/>
      <c r="D69" s="28"/>
      <c r="E69" s="10"/>
      <c r="F69" s="10"/>
      <c r="G69" s="1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4" x14ac:dyDescent="0.2">
      <c r="A70" s="28"/>
      <c r="B70" s="28"/>
      <c r="C70" s="28"/>
      <c r="D70" s="28"/>
      <c r="E70" s="10"/>
      <c r="F70" s="10"/>
      <c r="G70" s="1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4" x14ac:dyDescent="0.2">
      <c r="A71" s="28"/>
      <c r="B71" s="28"/>
      <c r="C71" s="28"/>
      <c r="D71" s="28"/>
      <c r="E71" s="10"/>
      <c r="F71" s="10"/>
      <c r="G71" s="1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4" x14ac:dyDescent="0.2">
      <c r="A72" s="28"/>
      <c r="B72" s="28"/>
      <c r="C72" s="28"/>
      <c r="D72" s="28"/>
      <c r="E72" s="10"/>
      <c r="F72" s="10"/>
      <c r="G72" s="1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4" x14ac:dyDescent="0.2">
      <c r="A73" s="28"/>
      <c r="B73" s="28"/>
      <c r="C73" s="28"/>
      <c r="D73" s="28"/>
      <c r="E73" s="10"/>
      <c r="F73" s="10"/>
      <c r="G73" s="1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4" x14ac:dyDescent="0.2">
      <c r="A74" s="28"/>
      <c r="B74" s="28"/>
      <c r="C74" s="28"/>
      <c r="D74" s="28"/>
      <c r="E74" s="10"/>
      <c r="F74" s="10"/>
      <c r="G74" s="1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4" x14ac:dyDescent="0.2">
      <c r="A75" s="28"/>
      <c r="B75" s="28"/>
      <c r="C75" s="28"/>
      <c r="D75" s="28"/>
      <c r="E75" s="10"/>
      <c r="F75" s="10"/>
      <c r="G75" s="1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4" x14ac:dyDescent="0.2">
      <c r="A76" s="28"/>
      <c r="B76" s="28"/>
      <c r="C76" s="28"/>
      <c r="D76" s="28"/>
      <c r="E76" s="10"/>
      <c r="F76" s="10"/>
      <c r="G76" s="1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4" x14ac:dyDescent="0.2">
      <c r="A77" s="28"/>
      <c r="B77" s="28"/>
      <c r="C77" s="28"/>
      <c r="D77" s="28"/>
      <c r="E77" s="10"/>
      <c r="F77" s="10"/>
      <c r="G77" s="1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4" x14ac:dyDescent="0.2">
      <c r="A78" s="28"/>
      <c r="B78" s="28"/>
      <c r="C78" s="28"/>
      <c r="D78" s="28"/>
      <c r="E78" s="10"/>
      <c r="F78" s="10"/>
      <c r="G78" s="1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4" x14ac:dyDescent="0.2">
      <c r="A79" s="28"/>
      <c r="B79" s="28"/>
      <c r="C79" s="28"/>
      <c r="D79" s="28"/>
      <c r="E79" s="10"/>
      <c r="F79" s="10"/>
      <c r="G79" s="1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4" x14ac:dyDescent="0.2">
      <c r="A80" s="28"/>
      <c r="B80" s="28"/>
      <c r="C80" s="28"/>
      <c r="D80" s="28"/>
      <c r="E80" s="10"/>
      <c r="F80" s="10"/>
      <c r="G80" s="1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4" x14ac:dyDescent="0.2">
      <c r="A81" s="28"/>
      <c r="B81" s="28"/>
      <c r="C81" s="28"/>
      <c r="D81" s="28"/>
      <c r="E81" s="10"/>
      <c r="F81" s="10"/>
      <c r="G81" s="1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4" x14ac:dyDescent="0.2">
      <c r="A82" s="28"/>
      <c r="B82" s="28"/>
      <c r="C82" s="28"/>
      <c r="D82" s="28"/>
      <c r="E82" s="10"/>
      <c r="F82" s="10"/>
      <c r="G82" s="1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4" x14ac:dyDescent="0.2">
      <c r="A83" s="28"/>
      <c r="B83" s="28"/>
      <c r="C83" s="28"/>
      <c r="D83" s="28"/>
      <c r="E83" s="10"/>
      <c r="F83" s="10"/>
      <c r="G83" s="1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4" x14ac:dyDescent="0.2">
      <c r="A84" s="28"/>
      <c r="B84" s="28"/>
      <c r="C84" s="28"/>
      <c r="D84" s="28"/>
      <c r="E84" s="10"/>
      <c r="F84" s="10"/>
      <c r="G84" s="1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4" x14ac:dyDescent="0.2">
      <c r="A85" s="28"/>
      <c r="B85" s="28"/>
      <c r="C85" s="28"/>
      <c r="D85" s="28"/>
      <c r="E85" s="10"/>
      <c r="F85" s="10"/>
      <c r="G85" s="1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4" x14ac:dyDescent="0.2">
      <c r="A86" s="28"/>
      <c r="B86" s="28"/>
      <c r="C86" s="28"/>
      <c r="D86" s="28"/>
      <c r="E86" s="10"/>
      <c r="F86" s="10"/>
      <c r="G86" s="1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4" x14ac:dyDescent="0.2">
      <c r="A87" s="28"/>
      <c r="B87" s="28"/>
      <c r="C87" s="28"/>
      <c r="D87" s="28"/>
      <c r="E87" s="10"/>
      <c r="F87" s="10"/>
      <c r="G87" s="1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" x14ac:dyDescent="0.2">
      <c r="A88" s="28"/>
      <c r="B88" s="28"/>
      <c r="C88" s="28"/>
      <c r="D88" s="28"/>
      <c r="E88" s="10"/>
      <c r="F88" s="10"/>
      <c r="G88" s="1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" x14ac:dyDescent="0.15">
      <c r="A89" s="28"/>
      <c r="B89" s="28"/>
      <c r="C89" s="28"/>
      <c r="D89" s="28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" x14ac:dyDescent="0.15">
      <c r="A90" s="28"/>
      <c r="B90" s="28"/>
      <c r="C90" s="28"/>
      <c r="D90" s="28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" x14ac:dyDescent="0.15">
      <c r="A91" s="28"/>
      <c r="B91" s="28"/>
      <c r="C91" s="28"/>
      <c r="D91" s="28"/>
      <c r="E91" s="29"/>
      <c r="F91" s="29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x14ac:dyDescent="0.15">
      <c r="A92" s="28"/>
      <c r="B92" s="28"/>
      <c r="C92" s="28"/>
      <c r="D92" s="28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x14ac:dyDescent="0.15">
      <c r="A93" s="28"/>
      <c r="B93" s="28"/>
      <c r="C93" s="28"/>
      <c r="D93" s="28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x14ac:dyDescent="0.15">
      <c r="A94" s="28"/>
      <c r="B94" s="28"/>
      <c r="C94" s="28"/>
      <c r="D94" s="28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x14ac:dyDescent="0.15">
      <c r="A95" s="28"/>
      <c r="B95" s="28"/>
      <c r="C95" s="28"/>
      <c r="D95" s="28"/>
      <c r="E95" s="29"/>
      <c r="F95" s="29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x14ac:dyDescent="0.15">
      <c r="A96" s="28"/>
      <c r="B96" s="28"/>
      <c r="C96" s="28"/>
      <c r="D96" s="28"/>
      <c r="E96" s="29"/>
      <c r="F96" s="29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x14ac:dyDescent="0.15">
      <c r="A97" s="28"/>
      <c r="B97" s="28"/>
      <c r="C97" s="28"/>
      <c r="D97" s="28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x14ac:dyDescent="0.15">
      <c r="A98" s="28"/>
      <c r="B98" s="28"/>
      <c r="C98" s="28"/>
      <c r="D98" s="28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x14ac:dyDescent="0.15">
      <c r="A99" s="28"/>
      <c r="B99" s="28"/>
      <c r="C99" s="28"/>
      <c r="D99" s="28"/>
      <c r="E99" s="29"/>
      <c r="F99" s="29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x14ac:dyDescent="0.15">
      <c r="A100" s="28"/>
      <c r="B100" s="28"/>
      <c r="C100" s="28"/>
      <c r="D100" s="28"/>
      <c r="E100" s="29"/>
      <c r="F100" s="29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x14ac:dyDescent="0.15">
      <c r="A101" s="28"/>
      <c r="B101" s="28"/>
      <c r="C101" s="28"/>
      <c r="D101" s="28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x14ac:dyDescent="0.15">
      <c r="A102" s="28"/>
      <c r="B102" s="28"/>
      <c r="C102" s="28"/>
      <c r="D102" s="28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x14ac:dyDescent="0.15">
      <c r="A103" s="28"/>
      <c r="B103" s="28"/>
      <c r="C103" s="28"/>
      <c r="D103" s="28"/>
      <c r="E103" s="29"/>
      <c r="F103" s="29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x14ac:dyDescent="0.15">
      <c r="A104" s="28"/>
      <c r="B104" s="28"/>
      <c r="C104" s="28"/>
      <c r="D104" s="28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x14ac:dyDescent="0.15">
      <c r="A105" s="28"/>
      <c r="B105" s="28"/>
      <c r="C105" s="28"/>
      <c r="D105" s="28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x14ac:dyDescent="0.15">
      <c r="A106" s="28"/>
      <c r="B106" s="28"/>
      <c r="C106" s="28"/>
      <c r="D106" s="28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x14ac:dyDescent="0.15">
      <c r="A107" s="28"/>
      <c r="B107" s="28"/>
      <c r="C107" s="28"/>
      <c r="D107" s="28"/>
      <c r="E107" s="29"/>
      <c r="F107" s="29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x14ac:dyDescent="0.15">
      <c r="A108" s="28"/>
      <c r="B108" s="28"/>
      <c r="C108" s="28"/>
      <c r="D108" s="28"/>
      <c r="E108" s="29"/>
      <c r="F108" s="29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x14ac:dyDescent="0.15">
      <c r="A109" s="28"/>
      <c r="B109" s="28"/>
      <c r="C109" s="28"/>
      <c r="D109" s="28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x14ac:dyDescent="0.15">
      <c r="A110" s="28"/>
      <c r="B110" s="28"/>
      <c r="C110" s="28"/>
      <c r="D110" s="28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x14ac:dyDescent="0.15">
      <c r="A111" s="28"/>
      <c r="B111" s="28"/>
      <c r="C111" s="28"/>
      <c r="D111" s="28"/>
      <c r="E111" s="29"/>
      <c r="F111" s="29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x14ac:dyDescent="0.15">
      <c r="A112" s="28"/>
      <c r="B112" s="28"/>
      <c r="C112" s="28"/>
      <c r="D112" s="28"/>
      <c r="E112" s="29"/>
      <c r="F112" s="29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x14ac:dyDescent="0.15">
      <c r="A113" s="28"/>
      <c r="B113" s="28"/>
      <c r="C113" s="28"/>
      <c r="D113" s="28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x14ac:dyDescent="0.15">
      <c r="A114" s="28"/>
      <c r="B114" s="28"/>
      <c r="C114" s="28"/>
      <c r="D114" s="28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x14ac:dyDescent="0.15">
      <c r="A115" s="28"/>
      <c r="B115" s="28"/>
      <c r="C115" s="28"/>
      <c r="D115" s="28"/>
      <c r="E115" s="29"/>
      <c r="F115" s="29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x14ac:dyDescent="0.15">
      <c r="A116" s="28"/>
      <c r="B116" s="28"/>
      <c r="C116" s="28"/>
      <c r="D116" s="28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x14ac:dyDescent="0.15">
      <c r="A117" s="28"/>
      <c r="B117" s="28"/>
      <c r="C117" s="28"/>
      <c r="D117" s="28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x14ac:dyDescent="0.15">
      <c r="A118" s="28"/>
      <c r="B118" s="28"/>
      <c r="C118" s="28"/>
      <c r="D118" s="28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x14ac:dyDescent="0.15">
      <c r="A119" s="28"/>
      <c r="B119" s="28"/>
      <c r="C119" s="28"/>
      <c r="D119" s="28"/>
      <c r="E119" s="29"/>
      <c r="F119" s="29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x14ac:dyDescent="0.15">
      <c r="A120" s="28"/>
      <c r="B120" s="28"/>
      <c r="C120" s="28"/>
      <c r="D120" s="28"/>
      <c r="E120" s="29"/>
      <c r="F120" s="29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x14ac:dyDescent="0.15">
      <c r="A121" s="28"/>
      <c r="B121" s="28"/>
      <c r="C121" s="28"/>
      <c r="D121" s="28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x14ac:dyDescent="0.15">
      <c r="A122" s="28"/>
      <c r="B122" s="28"/>
      <c r="C122" s="28"/>
      <c r="D122" s="28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x14ac:dyDescent="0.15">
      <c r="A123" s="28"/>
      <c r="B123" s="28"/>
      <c r="C123" s="28"/>
      <c r="D123" s="28"/>
      <c r="E123" s="29"/>
      <c r="F123" s="29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x14ac:dyDescent="0.15">
      <c r="A124" s="28"/>
      <c r="B124" s="28"/>
      <c r="C124" s="28"/>
      <c r="D124" s="28"/>
      <c r="E124" s="29"/>
      <c r="F124" s="29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x14ac:dyDescent="0.15">
      <c r="A125" s="28"/>
      <c r="B125" s="28"/>
      <c r="C125" s="28"/>
      <c r="D125" s="28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x14ac:dyDescent="0.15">
      <c r="A126" s="28"/>
      <c r="B126" s="28"/>
      <c r="C126" s="28"/>
      <c r="D126" s="28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x14ac:dyDescent="0.15">
      <c r="A127" s="28"/>
      <c r="B127" s="28"/>
      <c r="C127" s="28"/>
      <c r="D127" s="28"/>
      <c r="E127" s="29"/>
      <c r="F127" s="29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x14ac:dyDescent="0.15">
      <c r="A128" s="28"/>
      <c r="B128" s="28"/>
      <c r="C128" s="28"/>
      <c r="D128" s="28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x14ac:dyDescent="0.15">
      <c r="A129" s="28"/>
      <c r="B129" s="28"/>
      <c r="C129" s="28"/>
      <c r="D129" s="28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x14ac:dyDescent="0.15">
      <c r="A130" s="28"/>
      <c r="B130" s="28"/>
      <c r="C130" s="28"/>
      <c r="D130" s="28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x14ac:dyDescent="0.15">
      <c r="A131" s="28"/>
      <c r="B131" s="28"/>
      <c r="C131" s="28"/>
      <c r="D131" s="28"/>
      <c r="E131" s="29"/>
      <c r="F131" s="29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x14ac:dyDescent="0.15">
      <c r="A132" s="28"/>
      <c r="B132" s="28"/>
      <c r="C132" s="28"/>
      <c r="D132" s="28"/>
      <c r="E132" s="29"/>
      <c r="F132" s="29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x14ac:dyDescent="0.15">
      <c r="A133" s="28"/>
      <c r="B133" s="28"/>
      <c r="C133" s="28"/>
      <c r="D133" s="28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x14ac:dyDescent="0.15">
      <c r="A134" s="28"/>
      <c r="B134" s="28"/>
      <c r="C134" s="28"/>
      <c r="D134" s="28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x14ac:dyDescent="0.15">
      <c r="A135" s="28"/>
      <c r="B135" s="28"/>
      <c r="C135" s="28"/>
      <c r="D135" s="28"/>
      <c r="E135" s="29"/>
      <c r="F135" s="29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x14ac:dyDescent="0.15">
      <c r="A136" s="28"/>
      <c r="B136" s="28"/>
      <c r="C136" s="28"/>
      <c r="D136" s="28"/>
      <c r="E136" s="29"/>
      <c r="F136" s="29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x14ac:dyDescent="0.15">
      <c r="A137" s="28"/>
      <c r="B137" s="28"/>
      <c r="C137" s="28"/>
      <c r="D137" s="28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x14ac:dyDescent="0.15">
      <c r="A138" s="28"/>
      <c r="B138" s="28"/>
      <c r="C138" s="28"/>
      <c r="D138" s="28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x14ac:dyDescent="0.15">
      <c r="A139" s="28"/>
      <c r="B139" s="28"/>
      <c r="C139" s="28"/>
      <c r="D139" s="28"/>
      <c r="E139" s="29"/>
      <c r="F139" s="29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x14ac:dyDescent="0.15">
      <c r="A141" s="28"/>
      <c r="B141" s="28"/>
      <c r="C141" s="28"/>
      <c r="D141" s="28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x14ac:dyDescent="0.15">
      <c r="A144" s="28"/>
      <c r="B144" s="28"/>
      <c r="C144" s="28"/>
      <c r="D144" s="28"/>
      <c r="E144" s="29"/>
      <c r="F144" s="29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x14ac:dyDescent="0.15">
      <c r="A145" s="28"/>
      <c r="B145" s="28"/>
      <c r="C145" s="28"/>
      <c r="D145" s="28"/>
      <c r="E145" s="29"/>
      <c r="F145" s="29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x14ac:dyDescent="0.15">
      <c r="A146" s="28"/>
      <c r="B146" s="28"/>
      <c r="C146" s="28"/>
      <c r="D146" s="28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x14ac:dyDescent="0.15">
      <c r="A147" s="28"/>
      <c r="B147" s="28"/>
      <c r="C147" s="28"/>
      <c r="D147" s="28"/>
      <c r="E147" s="29"/>
      <c r="F147" s="29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x14ac:dyDescent="0.15">
      <c r="A148" s="28"/>
      <c r="B148" s="28"/>
      <c r="C148" s="28"/>
      <c r="D148" s="28"/>
      <c r="E148" s="29"/>
      <c r="F148" s="29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x14ac:dyDescent="0.15">
      <c r="A149" s="28"/>
      <c r="B149" s="28"/>
      <c r="C149" s="28"/>
      <c r="D149" s="28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x14ac:dyDescent="0.15">
      <c r="A150" s="28"/>
      <c r="B150" s="28"/>
      <c r="C150" s="28"/>
      <c r="D150" s="28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x14ac:dyDescent="0.15">
      <c r="A151" s="28"/>
      <c r="B151" s="28"/>
      <c r="C151" s="28"/>
      <c r="D151" s="28"/>
      <c r="E151" s="29"/>
      <c r="F151" s="29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x14ac:dyDescent="0.15">
      <c r="A152" s="28"/>
      <c r="B152" s="28"/>
      <c r="C152" s="28"/>
      <c r="D152" s="28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x14ac:dyDescent="0.15">
      <c r="A153" s="28"/>
      <c r="B153" s="28"/>
      <c r="C153" s="28"/>
      <c r="D153" s="28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x14ac:dyDescent="0.15">
      <c r="A154" s="28"/>
      <c r="B154" s="28"/>
      <c r="C154" s="28"/>
      <c r="D154" s="28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x14ac:dyDescent="0.15">
      <c r="A155" s="28"/>
      <c r="B155" s="28"/>
      <c r="C155" s="28"/>
      <c r="D155" s="28"/>
      <c r="E155" s="29"/>
      <c r="F155" s="29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x14ac:dyDescent="0.15">
      <c r="A156" s="28"/>
      <c r="B156" s="28"/>
      <c r="C156" s="28"/>
      <c r="D156" s="28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x14ac:dyDescent="0.15">
      <c r="A157" s="28"/>
      <c r="B157" s="28"/>
      <c r="C157" s="28"/>
      <c r="D157" s="28"/>
      <c r="E157" s="29"/>
      <c r="F157" s="29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x14ac:dyDescent="0.15">
      <c r="A158" s="28"/>
      <c r="B158" s="28"/>
      <c r="C158" s="28"/>
      <c r="D158" s="28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x14ac:dyDescent="0.15">
      <c r="A159" s="28"/>
      <c r="B159" s="28"/>
      <c r="C159" s="28"/>
      <c r="D159" s="28"/>
      <c r="E159" s="29"/>
      <c r="F159" s="29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x14ac:dyDescent="0.15">
      <c r="A160" s="28"/>
      <c r="B160" s="28"/>
      <c r="C160" s="28"/>
      <c r="D160" s="28"/>
      <c r="E160" s="29"/>
      <c r="F160" s="29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x14ac:dyDescent="0.15">
      <c r="A161" s="28"/>
      <c r="B161" s="28"/>
      <c r="C161" s="28"/>
      <c r="D161" s="28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x14ac:dyDescent="0.15">
      <c r="A162" s="28"/>
      <c r="B162" s="28"/>
      <c r="C162" s="28"/>
      <c r="D162" s="28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x14ac:dyDescent="0.15">
      <c r="A163" s="28"/>
      <c r="B163" s="28"/>
      <c r="C163" s="28"/>
      <c r="D163" s="28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x14ac:dyDescent="0.15">
      <c r="A164" s="28"/>
      <c r="B164" s="28"/>
      <c r="C164" s="28"/>
      <c r="D164" s="28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x14ac:dyDescent="0.15">
      <c r="A165" s="28"/>
      <c r="B165" s="28"/>
      <c r="C165" s="28"/>
      <c r="D165" s="28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x14ac:dyDescent="0.15">
      <c r="A166" s="28"/>
      <c r="B166" s="28"/>
      <c r="C166" s="28"/>
      <c r="D166" s="28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x14ac:dyDescent="0.15">
      <c r="A167" s="28"/>
      <c r="B167" s="28"/>
      <c r="C167" s="28"/>
      <c r="D167" s="28"/>
      <c r="E167" s="29"/>
      <c r="F167" s="29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x14ac:dyDescent="0.15">
      <c r="A168" s="28"/>
      <c r="B168" s="28"/>
      <c r="C168" s="28"/>
      <c r="D168" s="28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x14ac:dyDescent="0.15">
      <c r="A169" s="28"/>
      <c r="B169" s="28"/>
      <c r="C169" s="28"/>
      <c r="D169" s="28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x14ac:dyDescent="0.15">
      <c r="A170" s="28"/>
      <c r="B170" s="28"/>
      <c r="C170" s="28"/>
      <c r="D170" s="28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x14ac:dyDescent="0.15">
      <c r="A171" s="28"/>
      <c r="B171" s="28"/>
      <c r="C171" s="28"/>
      <c r="D171" s="28"/>
      <c r="E171" s="29"/>
      <c r="F171" s="29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x14ac:dyDescent="0.15">
      <c r="A172" s="28"/>
      <c r="B172" s="28"/>
      <c r="C172" s="28"/>
      <c r="D172" s="28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x14ac:dyDescent="0.15">
      <c r="A173" s="28"/>
      <c r="B173" s="28"/>
      <c r="C173" s="28"/>
      <c r="D173" s="28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x14ac:dyDescent="0.15">
      <c r="A174" s="28"/>
      <c r="B174" s="28"/>
      <c r="C174" s="28"/>
      <c r="D174" s="28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x14ac:dyDescent="0.15">
      <c r="A175" s="28"/>
      <c r="B175" s="28"/>
      <c r="C175" s="28"/>
      <c r="D175" s="28"/>
      <c r="E175" s="29"/>
      <c r="F175" s="29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x14ac:dyDescent="0.15">
      <c r="A176" s="28"/>
      <c r="B176" s="28"/>
      <c r="C176" s="28"/>
      <c r="D176" s="28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x14ac:dyDescent="0.15">
      <c r="A177" s="28"/>
      <c r="B177" s="28"/>
      <c r="C177" s="28"/>
      <c r="D177" s="28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x14ac:dyDescent="0.15">
      <c r="A178" s="28"/>
      <c r="B178" s="28"/>
      <c r="C178" s="28"/>
      <c r="D178" s="28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x14ac:dyDescent="0.15">
      <c r="A215" s="28"/>
      <c r="B215" s="28"/>
      <c r="C215" s="28"/>
      <c r="D215" s="28"/>
      <c r="E215" s="29"/>
      <c r="F215" s="29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x14ac:dyDescent="0.15">
      <c r="A216" s="28"/>
      <c r="B216" s="28"/>
      <c r="C216" s="28"/>
      <c r="D216" s="28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x14ac:dyDescent="0.15">
      <c r="A217" s="28"/>
      <c r="B217" s="28"/>
      <c r="C217" s="28"/>
      <c r="D217" s="28"/>
      <c r="E217" s="29"/>
      <c r="F217" s="29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x14ac:dyDescent="0.15">
      <c r="A218" s="28"/>
      <c r="B218" s="28"/>
      <c r="C218" s="28"/>
      <c r="D218" s="28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x14ac:dyDescent="0.15">
      <c r="A219" s="28"/>
      <c r="B219" s="28"/>
      <c r="C219" s="28"/>
      <c r="D219" s="28"/>
      <c r="E219" s="29"/>
      <c r="F219" s="29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x14ac:dyDescent="0.15">
      <c r="A220" s="28"/>
      <c r="B220" s="28"/>
      <c r="C220" s="28"/>
      <c r="D220" s="28"/>
      <c r="E220" s="29"/>
      <c r="F220" s="29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x14ac:dyDescent="0.15">
      <c r="A221" s="28"/>
      <c r="B221" s="28"/>
      <c r="C221" s="28"/>
      <c r="D221" s="28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x14ac:dyDescent="0.15">
      <c r="A222" s="28"/>
      <c r="B222" s="28"/>
      <c r="C222" s="28"/>
      <c r="D222" s="28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x14ac:dyDescent="0.15">
      <c r="A223" s="28"/>
      <c r="B223" s="28"/>
      <c r="C223" s="28"/>
      <c r="D223" s="28"/>
      <c r="E223" s="29"/>
      <c r="F223" s="29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x14ac:dyDescent="0.15">
      <c r="A224" s="28"/>
      <c r="B224" s="28"/>
      <c r="C224" s="28"/>
      <c r="D224" s="28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x14ac:dyDescent="0.15">
      <c r="A225" s="28"/>
      <c r="B225" s="28"/>
      <c r="C225" s="28"/>
      <c r="D225" s="28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x14ac:dyDescent="0.15">
      <c r="A226" s="28"/>
      <c r="B226" s="28"/>
      <c r="C226" s="28"/>
      <c r="D226" s="28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x14ac:dyDescent="0.15">
      <c r="A227" s="28"/>
      <c r="B227" s="28"/>
      <c r="C227" s="28"/>
      <c r="D227" s="28"/>
      <c r="E227" s="29"/>
      <c r="F227" s="29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x14ac:dyDescent="0.15">
      <c r="A228" s="28"/>
      <c r="B228" s="28"/>
      <c r="C228" s="28"/>
      <c r="D228" s="28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x14ac:dyDescent="0.15">
      <c r="A229" s="28"/>
      <c r="B229" s="28"/>
      <c r="C229" s="28"/>
      <c r="D229" s="28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x14ac:dyDescent="0.15">
      <c r="A230" s="28"/>
      <c r="B230" s="28"/>
      <c r="C230" s="28"/>
      <c r="D230" s="28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x14ac:dyDescent="0.15">
      <c r="A231" s="28"/>
      <c r="B231" s="28"/>
      <c r="C231" s="28"/>
      <c r="D231" s="28"/>
      <c r="E231" s="29"/>
      <c r="F231" s="29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x14ac:dyDescent="0.15">
      <c r="A232" s="28"/>
      <c r="B232" s="28"/>
      <c r="C232" s="28"/>
      <c r="D232" s="28"/>
      <c r="E232" s="29"/>
      <c r="F232" s="29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x14ac:dyDescent="0.15">
      <c r="A233" s="28"/>
      <c r="B233" s="28"/>
      <c r="C233" s="28"/>
      <c r="D233" s="28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x14ac:dyDescent="0.15">
      <c r="A234" s="28"/>
      <c r="B234" s="28"/>
      <c r="C234" s="28"/>
      <c r="D234" s="28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x14ac:dyDescent="0.15">
      <c r="A235" s="28"/>
      <c r="B235" s="28"/>
      <c r="C235" s="28"/>
      <c r="D235" s="28"/>
      <c r="E235" s="29"/>
      <c r="F235" s="29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x14ac:dyDescent="0.15">
      <c r="A236" s="28"/>
      <c r="B236" s="28"/>
      <c r="C236" s="28"/>
      <c r="D236" s="28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" x14ac:dyDescent="0.15">
      <c r="A237" s="28"/>
      <c r="B237" s="28"/>
      <c r="C237" s="28"/>
      <c r="D237" s="28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" x14ac:dyDescent="0.15">
      <c r="A238" s="28"/>
      <c r="B238" s="28"/>
      <c r="C238" s="28"/>
      <c r="D238" s="28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" x14ac:dyDescent="0.15">
      <c r="A239" s="28"/>
      <c r="B239" s="28"/>
      <c r="C239" s="28"/>
      <c r="D239" s="28"/>
      <c r="E239" s="29"/>
      <c r="F239" s="29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" x14ac:dyDescent="0.15">
      <c r="A240" s="28"/>
      <c r="B240" s="28"/>
      <c r="C240" s="28"/>
      <c r="D240" s="28"/>
      <c r="E240" s="29"/>
      <c r="F240" s="29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" x14ac:dyDescent="0.15">
      <c r="A241" s="28"/>
      <c r="B241" s="28"/>
      <c r="C241" s="28"/>
      <c r="D241" s="28"/>
      <c r="E241" s="29"/>
      <c r="F241" s="29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" x14ac:dyDescent="0.15">
      <c r="A242" s="28"/>
      <c r="B242" s="28"/>
      <c r="C242" s="28"/>
      <c r="D242" s="28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" x14ac:dyDescent="0.15">
      <c r="A243" s="28"/>
      <c r="B243" s="28"/>
      <c r="C243" s="28"/>
      <c r="D243" s="28"/>
      <c r="E243" s="29"/>
      <c r="F243" s="29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" x14ac:dyDescent="0.15">
      <c r="A244" s="28"/>
      <c r="B244" s="28"/>
      <c r="C244" s="28"/>
      <c r="D244" s="28"/>
      <c r="E244" s="29"/>
      <c r="F244" s="29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" x14ac:dyDescent="0.15">
      <c r="A245" s="28"/>
      <c r="B245" s="28"/>
      <c r="C245" s="28"/>
      <c r="D245" s="28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" x14ac:dyDescent="0.15">
      <c r="A246" s="28"/>
      <c r="B246" s="28"/>
      <c r="C246" s="28"/>
      <c r="D246" s="28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" x14ac:dyDescent="0.15">
      <c r="A247" s="28"/>
      <c r="B247" s="28"/>
      <c r="C247" s="28"/>
      <c r="D247" s="28"/>
      <c r="E247" s="29"/>
      <c r="F247" s="29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" x14ac:dyDescent="0.15">
      <c r="A248" s="28"/>
      <c r="B248" s="28"/>
      <c r="C248" s="28"/>
      <c r="D248" s="28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" x14ac:dyDescent="0.15">
      <c r="A249" s="28"/>
      <c r="B249" s="28"/>
      <c r="C249" s="28"/>
      <c r="D249" s="28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x14ac:dyDescent="0.15">
      <c r="A250" s="28"/>
      <c r="B250" s="28"/>
      <c r="C250" s="28"/>
      <c r="D250" s="28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x14ac:dyDescent="0.15">
      <c r="A251" s="28"/>
      <c r="B251" s="28"/>
      <c r="C251" s="28"/>
      <c r="D251" s="28"/>
      <c r="E251" s="29"/>
      <c r="F251" s="29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x14ac:dyDescent="0.15">
      <c r="A252" s="28"/>
      <c r="B252" s="28"/>
      <c r="C252" s="28"/>
      <c r="D252" s="28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x14ac:dyDescent="0.15">
      <c r="A253" s="28"/>
      <c r="B253" s="28"/>
      <c r="C253" s="28"/>
      <c r="D253" s="28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x14ac:dyDescent="0.15">
      <c r="A254" s="28"/>
      <c r="B254" s="28"/>
      <c r="C254" s="28"/>
      <c r="D254" s="28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x14ac:dyDescent="0.15">
      <c r="A255" s="28"/>
      <c r="B255" s="28"/>
      <c r="C255" s="28"/>
      <c r="D255" s="28"/>
      <c r="E255" s="29"/>
      <c r="F255" s="29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x14ac:dyDescent="0.15">
      <c r="A256" s="28"/>
      <c r="B256" s="28"/>
      <c r="C256" s="28"/>
      <c r="D256" s="28"/>
      <c r="E256" s="29"/>
      <c r="F256" s="29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x14ac:dyDescent="0.15">
      <c r="A257" s="28"/>
      <c r="B257" s="28"/>
      <c r="C257" s="28"/>
      <c r="D257" s="28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x14ac:dyDescent="0.15">
      <c r="A258" s="28"/>
      <c r="B258" s="28"/>
      <c r="C258" s="28"/>
      <c r="D258" s="28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x14ac:dyDescent="0.15">
      <c r="A259" s="28"/>
      <c r="B259" s="28"/>
      <c r="C259" s="28"/>
      <c r="D259" s="28"/>
      <c r="E259" s="29"/>
      <c r="F259" s="29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x14ac:dyDescent="0.15">
      <c r="A260" s="28"/>
      <c r="B260" s="28"/>
      <c r="C260" s="28"/>
      <c r="D260" s="28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x14ac:dyDescent="0.15">
      <c r="A261" s="28"/>
      <c r="B261" s="28"/>
      <c r="C261" s="28"/>
      <c r="D261" s="28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x14ac:dyDescent="0.15">
      <c r="A262" s="28"/>
      <c r="B262" s="28"/>
      <c r="C262" s="28"/>
      <c r="D262" s="28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x14ac:dyDescent="0.15">
      <c r="A263" s="28"/>
      <c r="B263" s="28"/>
      <c r="C263" s="28"/>
      <c r="D263" s="28"/>
      <c r="E263" s="29"/>
      <c r="F263" s="29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x14ac:dyDescent="0.15">
      <c r="A264" s="28"/>
      <c r="B264" s="28"/>
      <c r="C264" s="28"/>
      <c r="D264" s="28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x14ac:dyDescent="0.15">
      <c r="A265" s="28"/>
      <c r="B265" s="28"/>
      <c r="C265" s="28"/>
      <c r="D265" s="28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x14ac:dyDescent="0.15">
      <c r="A266" s="28"/>
      <c r="B266" s="28"/>
      <c r="C266" s="28"/>
      <c r="D266" s="28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x14ac:dyDescent="0.15">
      <c r="A267" s="28"/>
      <c r="B267" s="28"/>
      <c r="C267" s="28"/>
      <c r="D267" s="28"/>
      <c r="E267" s="29"/>
      <c r="F267" s="29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x14ac:dyDescent="0.15">
      <c r="A268" s="28"/>
      <c r="B268" s="28"/>
      <c r="C268" s="28"/>
      <c r="D268" s="28"/>
      <c r="E268" s="29"/>
      <c r="F268" s="29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x14ac:dyDescent="0.15">
      <c r="A269" s="28"/>
      <c r="B269" s="28"/>
      <c r="C269" s="28"/>
      <c r="D269" s="28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x14ac:dyDescent="0.15">
      <c r="A270" s="28"/>
      <c r="B270" s="28"/>
      <c r="C270" s="28"/>
      <c r="D270" s="28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x14ac:dyDescent="0.15">
      <c r="A271" s="28"/>
      <c r="B271" s="28"/>
      <c r="C271" s="28"/>
      <c r="D271" s="28"/>
      <c r="E271" s="29"/>
      <c r="F271" s="29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x14ac:dyDescent="0.15">
      <c r="A286" s="28"/>
      <c r="B286" s="28"/>
      <c r="C286" s="28"/>
      <c r="D286" s="28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x14ac:dyDescent="0.15">
      <c r="A287" s="28"/>
      <c r="B287" s="28"/>
      <c r="C287" s="28"/>
      <c r="D287" s="28"/>
      <c r="E287" s="29"/>
      <c r="F287" s="29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x14ac:dyDescent="0.15">
      <c r="A288" s="28"/>
      <c r="B288" s="28"/>
      <c r="C288" s="28"/>
      <c r="D288" s="28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x14ac:dyDescent="0.15">
      <c r="A289" s="28"/>
      <c r="B289" s="28"/>
      <c r="C289" s="28"/>
      <c r="D289" s="28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x14ac:dyDescent="0.15">
      <c r="A290" s="28"/>
      <c r="B290" s="28"/>
      <c r="C290" s="28"/>
      <c r="D290" s="28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x14ac:dyDescent="0.15">
      <c r="A291" s="28"/>
      <c r="B291" s="28"/>
      <c r="C291" s="28"/>
      <c r="D291" s="28"/>
      <c r="E291" s="29"/>
      <c r="F291" s="29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x14ac:dyDescent="0.15">
      <c r="A292" s="28"/>
      <c r="B292" s="28"/>
      <c r="C292" s="28"/>
      <c r="D292" s="28"/>
      <c r="E292" s="29"/>
      <c r="F292" s="29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x14ac:dyDescent="0.15">
      <c r="A293" s="28"/>
      <c r="B293" s="28"/>
      <c r="C293" s="28"/>
      <c r="D293" s="28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x14ac:dyDescent="0.15">
      <c r="A294" s="28"/>
      <c r="B294" s="28"/>
      <c r="C294" s="28"/>
      <c r="D294" s="28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x14ac:dyDescent="0.15">
      <c r="A295" s="28"/>
      <c r="B295" s="28"/>
      <c r="C295" s="28"/>
      <c r="D295" s="28"/>
      <c r="E295" s="29"/>
      <c r="F295" s="29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x14ac:dyDescent="0.15">
      <c r="A296" s="28"/>
      <c r="B296" s="28"/>
      <c r="C296" s="28"/>
      <c r="D296" s="28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x14ac:dyDescent="0.15">
      <c r="A297" s="28"/>
      <c r="B297" s="28"/>
      <c r="C297" s="28"/>
      <c r="D297" s="28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x14ac:dyDescent="0.15">
      <c r="A298" s="28"/>
      <c r="B298" s="28"/>
      <c r="C298" s="28"/>
      <c r="D298" s="28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x14ac:dyDescent="0.15">
      <c r="A299" s="28"/>
      <c r="B299" s="28"/>
      <c r="C299" s="28"/>
      <c r="D299" s="28"/>
      <c r="E299" s="29"/>
      <c r="F299" s="29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x14ac:dyDescent="0.15">
      <c r="A300" s="28"/>
      <c r="B300" s="28"/>
      <c r="C300" s="28"/>
      <c r="D300" s="28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x14ac:dyDescent="0.15">
      <c r="A301" s="28"/>
      <c r="B301" s="28"/>
      <c r="C301" s="28"/>
      <c r="D301" s="28"/>
      <c r="E301" s="29"/>
      <c r="F301" s="29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x14ac:dyDescent="0.15">
      <c r="A302" s="28"/>
      <c r="B302" s="28"/>
      <c r="C302" s="28"/>
      <c r="D302" s="28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x14ac:dyDescent="0.15">
      <c r="A303" s="28"/>
      <c r="B303" s="28"/>
      <c r="C303" s="28"/>
      <c r="D303" s="28"/>
      <c r="E303" s="29"/>
      <c r="F303" s="29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x14ac:dyDescent="0.15">
      <c r="A304" s="28"/>
      <c r="B304" s="28"/>
      <c r="C304" s="28"/>
      <c r="D304" s="28"/>
      <c r="E304" s="29"/>
      <c r="F304" s="29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x14ac:dyDescent="0.15">
      <c r="A305" s="28"/>
      <c r="B305" s="28"/>
      <c r="C305" s="28"/>
      <c r="D305" s="28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x14ac:dyDescent="0.15">
      <c r="A306" s="28"/>
      <c r="B306" s="28"/>
      <c r="C306" s="28"/>
      <c r="D306" s="28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x14ac:dyDescent="0.15">
      <c r="A307" s="28"/>
      <c r="B307" s="28"/>
      <c r="C307" s="28"/>
      <c r="D307" s="28"/>
      <c r="E307" s="29"/>
      <c r="F307" s="29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x14ac:dyDescent="0.15">
      <c r="A308" s="28"/>
      <c r="B308" s="28"/>
      <c r="C308" s="28"/>
      <c r="D308" s="28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x14ac:dyDescent="0.15">
      <c r="A309" s="28"/>
      <c r="B309" s="28"/>
      <c r="C309" s="28"/>
      <c r="D309" s="28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x14ac:dyDescent="0.15">
      <c r="A310" s="28"/>
      <c r="B310" s="28"/>
      <c r="C310" s="28"/>
      <c r="D310" s="28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x14ac:dyDescent="0.15">
      <c r="A311" s="28"/>
      <c r="B311" s="28"/>
      <c r="C311" s="28"/>
      <c r="D311" s="28"/>
      <c r="E311" s="29"/>
      <c r="F311" s="29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x14ac:dyDescent="0.15">
      <c r="A312" s="28"/>
      <c r="B312" s="28"/>
      <c r="C312" s="28"/>
      <c r="D312" s="28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x14ac:dyDescent="0.15">
      <c r="A313" s="28"/>
      <c r="B313" s="28"/>
      <c r="C313" s="28"/>
      <c r="D313" s="28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x14ac:dyDescent="0.15">
      <c r="A314" s="28"/>
      <c r="B314" s="28"/>
      <c r="C314" s="28"/>
      <c r="D314" s="28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x14ac:dyDescent="0.15">
      <c r="A315" s="28"/>
      <c r="B315" s="28"/>
      <c r="C315" s="28"/>
      <c r="D315" s="28"/>
      <c r="E315" s="29"/>
      <c r="F315" s="29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x14ac:dyDescent="0.15">
      <c r="A316" s="28"/>
      <c r="B316" s="28"/>
      <c r="C316" s="28"/>
      <c r="D316" s="28"/>
      <c r="E316" s="29"/>
      <c r="F316" s="29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x14ac:dyDescent="0.15">
      <c r="A317" s="28"/>
      <c r="B317" s="28"/>
      <c r="C317" s="28"/>
      <c r="D317" s="28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x14ac:dyDescent="0.15">
      <c r="A318" s="28"/>
      <c r="B318" s="28"/>
      <c r="C318" s="28"/>
      <c r="D318" s="28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x14ac:dyDescent="0.15">
      <c r="A319" s="28"/>
      <c r="B319" s="28"/>
      <c r="C319" s="28"/>
      <c r="D319" s="28"/>
      <c r="E319" s="29"/>
      <c r="F319" s="29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x14ac:dyDescent="0.15">
      <c r="A320" s="28"/>
      <c r="B320" s="28"/>
      <c r="C320" s="28"/>
      <c r="D320" s="28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x14ac:dyDescent="0.15">
      <c r="A724" s="28"/>
      <c r="B724" s="28"/>
      <c r="C724" s="28"/>
      <c r="D724" s="28"/>
      <c r="E724" s="29"/>
      <c r="F724" s="29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x14ac:dyDescent="0.15">
      <c r="A725" s="28"/>
      <c r="B725" s="28"/>
      <c r="C725" s="28"/>
      <c r="D725" s="28"/>
      <c r="E725" s="29"/>
      <c r="F725" s="29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x14ac:dyDescent="0.15">
      <c r="A726" s="28"/>
      <c r="B726" s="28"/>
      <c r="C726" s="28"/>
      <c r="D726" s="28"/>
      <c r="E726" s="29"/>
      <c r="F726" s="29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x14ac:dyDescent="0.15">
      <c r="A727" s="28"/>
      <c r="B727" s="28"/>
      <c r="C727" s="28"/>
      <c r="D727" s="28"/>
      <c r="E727" s="29"/>
      <c r="F727" s="29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x14ac:dyDescent="0.15">
      <c r="A728" s="28"/>
      <c r="B728" s="28"/>
      <c r="C728" s="28"/>
      <c r="D728" s="28"/>
      <c r="E728" s="29"/>
      <c r="F728" s="29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" x14ac:dyDescent="0.15">
      <c r="A729" s="28"/>
      <c r="B729" s="28"/>
      <c r="C729" s="28"/>
      <c r="D729" s="28"/>
      <c r="E729" s="29"/>
      <c r="F729" s="29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" x14ac:dyDescent="0.15">
      <c r="A730" s="28"/>
      <c r="B730" s="28"/>
      <c r="C730" s="28"/>
      <c r="D730" s="28"/>
      <c r="E730" s="29"/>
      <c r="F730" s="29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" x14ac:dyDescent="0.15">
      <c r="A731" s="28"/>
      <c r="B731" s="28"/>
      <c r="C731" s="28"/>
      <c r="D731" s="28"/>
      <c r="E731" s="29"/>
      <c r="F731" s="29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" x14ac:dyDescent="0.15">
      <c r="A732" s="28"/>
      <c r="B732" s="28"/>
      <c r="C732" s="28"/>
      <c r="D732" s="28"/>
      <c r="E732" s="29"/>
      <c r="F732" s="29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" x14ac:dyDescent="0.15">
      <c r="A733" s="28"/>
      <c r="B733" s="28"/>
      <c r="C733" s="28"/>
      <c r="D733" s="28"/>
      <c r="E733" s="29"/>
      <c r="F733" s="29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" x14ac:dyDescent="0.15">
      <c r="A734" s="28"/>
      <c r="B734" s="28"/>
      <c r="C734" s="28"/>
      <c r="D734" s="28"/>
      <c r="E734" s="29"/>
      <c r="F734" s="29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" x14ac:dyDescent="0.15">
      <c r="A735" s="28"/>
      <c r="B735" s="28"/>
      <c r="C735" s="28"/>
      <c r="D735" s="28"/>
      <c r="E735" s="29"/>
      <c r="F735" s="29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" x14ac:dyDescent="0.15">
      <c r="A736" s="28"/>
      <c r="B736" s="28"/>
      <c r="C736" s="28"/>
      <c r="D736" s="28"/>
      <c r="E736" s="29"/>
      <c r="F736" s="29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" x14ac:dyDescent="0.15">
      <c r="A737" s="28"/>
      <c r="B737" s="28"/>
      <c r="C737" s="28"/>
      <c r="D737" s="28"/>
      <c r="E737" s="29"/>
      <c r="F737" s="29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" x14ac:dyDescent="0.15">
      <c r="A738" s="28"/>
      <c r="B738" s="28"/>
      <c r="C738" s="28"/>
      <c r="D738" s="28"/>
      <c r="E738" s="29"/>
      <c r="F738" s="29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" x14ac:dyDescent="0.15">
      <c r="A739" s="28"/>
      <c r="B739" s="28"/>
      <c r="C739" s="28"/>
      <c r="D739" s="28"/>
      <c r="E739" s="29"/>
      <c r="F739" s="29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" x14ac:dyDescent="0.15">
      <c r="A740" s="28"/>
      <c r="B740" s="28"/>
      <c r="C740" s="28"/>
      <c r="D740" s="28"/>
      <c r="E740" s="29"/>
      <c r="F740" s="29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" x14ac:dyDescent="0.15">
      <c r="A741" s="28"/>
      <c r="B741" s="28"/>
      <c r="C741" s="28"/>
      <c r="D741" s="28"/>
      <c r="E741" s="29"/>
      <c r="F741" s="29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" x14ac:dyDescent="0.15">
      <c r="A742" s="28"/>
      <c r="B742" s="28"/>
      <c r="C742" s="28"/>
      <c r="D742" s="28"/>
      <c r="E742" s="29"/>
      <c r="F742" s="29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" x14ac:dyDescent="0.15">
      <c r="A743" s="28"/>
      <c r="B743" s="28"/>
      <c r="C743" s="28"/>
      <c r="D743" s="28"/>
      <c r="E743" s="29"/>
      <c r="F743" s="29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" x14ac:dyDescent="0.15">
      <c r="A744" s="28"/>
      <c r="B744" s="28"/>
      <c r="C744" s="28"/>
      <c r="D744" s="28"/>
      <c r="E744" s="29"/>
      <c r="F744" s="29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" x14ac:dyDescent="0.15">
      <c r="A745" s="28"/>
      <c r="B745" s="28"/>
      <c r="C745" s="28"/>
      <c r="D745" s="28"/>
      <c r="E745" s="29"/>
      <c r="F745" s="29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" x14ac:dyDescent="0.15">
      <c r="A746" s="28"/>
      <c r="B746" s="28"/>
      <c r="C746" s="28"/>
      <c r="D746" s="28"/>
      <c r="E746" s="29"/>
      <c r="F746" s="29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" x14ac:dyDescent="0.15">
      <c r="A747" s="28"/>
      <c r="B747" s="28"/>
      <c r="C747" s="28"/>
      <c r="D747" s="28"/>
      <c r="E747" s="29"/>
      <c r="F747" s="29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" x14ac:dyDescent="0.15">
      <c r="A748" s="28"/>
      <c r="B748" s="28"/>
      <c r="C748" s="28"/>
      <c r="D748" s="28"/>
      <c r="E748" s="29"/>
      <c r="F748" s="29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" x14ac:dyDescent="0.15">
      <c r="A749" s="28"/>
      <c r="B749" s="28"/>
      <c r="C749" s="28"/>
      <c r="D749" s="28"/>
      <c r="E749" s="29"/>
      <c r="F749" s="29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" x14ac:dyDescent="0.15">
      <c r="A750" s="28"/>
      <c r="B750" s="28"/>
      <c r="C750" s="28"/>
      <c r="D750" s="28"/>
      <c r="E750" s="29"/>
      <c r="F750" s="29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" x14ac:dyDescent="0.15">
      <c r="A751" s="28"/>
      <c r="B751" s="28"/>
      <c r="C751" s="28"/>
      <c r="D751" s="28"/>
      <c r="E751" s="29"/>
      <c r="F751" s="29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" x14ac:dyDescent="0.15">
      <c r="A752" s="28"/>
      <c r="B752" s="28"/>
      <c r="C752" s="28"/>
      <c r="D752" s="28"/>
      <c r="E752" s="29"/>
      <c r="F752" s="29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</sheetData>
  <conditionalFormatting sqref="E2:G752">
    <cfRule type="cellIs" dxfId="62" priority="1" operator="greaterThan">
      <formula>0</formula>
    </cfRule>
    <cfRule type="cellIs" dxfId="61" priority="2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72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44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1"/>
      <c r="E3" s="34"/>
      <c r="F3" s="34"/>
      <c r="G3" s="10"/>
      <c r="H3" s="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551</v>
      </c>
      <c r="D4" s="61">
        <v>3028</v>
      </c>
      <c r="E4" s="62">
        <v>200000</v>
      </c>
      <c r="F4" s="62">
        <v>0</v>
      </c>
      <c r="G4" s="10"/>
      <c r="H4" s="1"/>
      <c r="I4" s="1"/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 t="s">
        <v>552</v>
      </c>
      <c r="D5" s="61">
        <v>3027</v>
      </c>
      <c r="E5" s="62">
        <v>70000</v>
      </c>
      <c r="F5" s="62">
        <v>0</v>
      </c>
      <c r="G5" s="10"/>
      <c r="H5" s="1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1" t="s">
        <v>553</v>
      </c>
      <c r="D6" s="61">
        <v>3044</v>
      </c>
      <c r="E6" s="62">
        <v>70000</v>
      </c>
      <c r="F6" s="62">
        <v>0</v>
      </c>
      <c r="G6" s="10"/>
      <c r="H6" s="1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 t="s">
        <v>554</v>
      </c>
      <c r="D7" s="61">
        <v>4044</v>
      </c>
      <c r="E7" s="62">
        <v>0</v>
      </c>
      <c r="F7" s="62">
        <v>-70000</v>
      </c>
      <c r="G7" s="10"/>
      <c r="H7" s="1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1" t="s">
        <v>555</v>
      </c>
      <c r="D8" s="61">
        <v>4028</v>
      </c>
      <c r="E8" s="62">
        <v>0</v>
      </c>
      <c r="F8" s="62">
        <v>-200000</v>
      </c>
      <c r="G8" s="10"/>
      <c r="H8" s="1"/>
      <c r="I8" s="1"/>
      <c r="J8" s="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1" t="s">
        <v>556</v>
      </c>
      <c r="D9" s="61">
        <v>4027</v>
      </c>
      <c r="E9" s="62">
        <v>0</v>
      </c>
      <c r="F9" s="62">
        <v>-70000</v>
      </c>
      <c r="G9" s="10"/>
      <c r="H9" s="1"/>
      <c r="I9" s="1"/>
      <c r="J9" s="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1"/>
      <c r="C10" s="1" t="s">
        <v>557</v>
      </c>
      <c r="D10" s="61">
        <v>5710</v>
      </c>
      <c r="E10" s="62">
        <v>0</v>
      </c>
      <c r="F10" s="62">
        <v>-5000</v>
      </c>
      <c r="G10" s="10"/>
      <c r="H10" s="1"/>
      <c r="I10" s="1"/>
      <c r="J10" s="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1"/>
      <c r="C11" s="1" t="s">
        <v>558</v>
      </c>
      <c r="D11" s="61">
        <v>3054</v>
      </c>
      <c r="E11" s="62">
        <v>21000</v>
      </c>
      <c r="F11" s="62">
        <v>0</v>
      </c>
      <c r="G11" s="10"/>
      <c r="H11" s="1"/>
      <c r="I11" s="1" t="s">
        <v>559</v>
      </c>
      <c r="J11" s="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 t="s">
        <v>560</v>
      </c>
      <c r="D12" s="1">
        <v>4045</v>
      </c>
      <c r="E12" s="10">
        <v>0</v>
      </c>
      <c r="F12" s="10">
        <v>-3000</v>
      </c>
      <c r="G12" s="10"/>
      <c r="H12" s="1"/>
      <c r="I12" s="1"/>
      <c r="J12" s="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/>
      <c r="D13" s="1"/>
      <c r="E13" s="10"/>
      <c r="F13" s="10"/>
      <c r="G13" s="10"/>
      <c r="H13" s="1"/>
      <c r="I13" s="1"/>
      <c r="J13" s="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1"/>
      <c r="C14" s="25" t="s">
        <v>80</v>
      </c>
      <c r="D14" s="1"/>
      <c r="E14" s="10">
        <f t="shared" ref="E14:F14" si="0">SUM(E4:E12)</f>
        <v>361000</v>
      </c>
      <c r="F14" s="10">
        <f t="shared" si="0"/>
        <v>-348000</v>
      </c>
      <c r="G14" s="10">
        <f>E14+F14</f>
        <v>13000</v>
      </c>
      <c r="H14" s="1"/>
      <c r="I14" s="1"/>
      <c r="J14" s="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/>
      <c r="D15" s="1"/>
      <c r="E15" s="10"/>
      <c r="F15" s="10"/>
      <c r="G15" s="10"/>
      <c r="H15" s="1"/>
      <c r="I15" s="1"/>
      <c r="J15" s="1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25" t="s">
        <v>81</v>
      </c>
      <c r="C16" s="1"/>
      <c r="D16" s="1"/>
      <c r="E16" s="10"/>
      <c r="F16" s="10"/>
      <c r="G16" s="10"/>
      <c r="H16" s="1"/>
      <c r="I16" s="1"/>
      <c r="J16" s="1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1" t="s">
        <v>82</v>
      </c>
      <c r="D17" s="61">
        <v>7631</v>
      </c>
      <c r="E17" s="62">
        <v>0</v>
      </c>
      <c r="F17" s="62">
        <v>-2000</v>
      </c>
      <c r="G17" s="10"/>
      <c r="H17" s="1"/>
      <c r="I17" s="1"/>
      <c r="J17" s="1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 t="s">
        <v>83</v>
      </c>
      <c r="D18" s="61">
        <v>7691</v>
      </c>
      <c r="E18" s="62">
        <v>0</v>
      </c>
      <c r="F18" s="10">
        <v>-1200</v>
      </c>
      <c r="G18" s="10"/>
      <c r="H18" s="1"/>
      <c r="I18" s="1"/>
      <c r="J18" s="1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1"/>
      <c r="D19" s="1"/>
      <c r="E19" s="10"/>
      <c r="F19" s="10"/>
      <c r="G19" s="10"/>
      <c r="H19" s="1"/>
      <c r="I19" s="1"/>
      <c r="J19" s="1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25" t="s">
        <v>80</v>
      </c>
      <c r="D20" s="1"/>
      <c r="E20" s="10">
        <f t="shared" ref="E20:F20" si="1">SUM(E17:E18)</f>
        <v>0</v>
      </c>
      <c r="F20" s="10">
        <f t="shared" si="1"/>
        <v>-3200</v>
      </c>
      <c r="G20" s="10">
        <f>E20+F20</f>
        <v>-3200</v>
      </c>
      <c r="H20" s="1"/>
      <c r="I20" s="1"/>
      <c r="J20" s="1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1"/>
      <c r="C21" s="1"/>
      <c r="D21" s="1"/>
      <c r="E21" s="10"/>
      <c r="F21" s="10"/>
      <c r="G21" s="10"/>
      <c r="H21" s="1"/>
      <c r="I21" s="1"/>
      <c r="J21" s="1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1"/>
      <c r="C22" s="25" t="s">
        <v>102</v>
      </c>
      <c r="D22" s="1"/>
      <c r="E22" s="8">
        <f t="shared" ref="E22:F22" si="2">SUMIFS(E2:E21,$C2:$C21,"Subsubtotal")</f>
        <v>361000</v>
      </c>
      <c r="F22" s="31">
        <f t="shared" si="2"/>
        <v>-351200</v>
      </c>
      <c r="G22" s="10">
        <f>SUM(G2:G21)</f>
        <v>9800</v>
      </c>
      <c r="H22" s="1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1"/>
      <c r="C23" s="1"/>
      <c r="D23" s="1"/>
      <c r="E23" s="10"/>
      <c r="F23" s="10"/>
      <c r="G23" s="10"/>
      <c r="H23" s="1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 x14ac:dyDescent="0.15">
      <c r="A24" s="28"/>
      <c r="B24" s="28"/>
      <c r="C24" s="28"/>
      <c r="D24" s="28"/>
      <c r="E24" s="29"/>
      <c r="F24" s="29"/>
      <c r="G24" s="29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28"/>
      <c r="B25" s="28"/>
      <c r="C25" s="28"/>
      <c r="D25" s="28"/>
      <c r="E25" s="10"/>
      <c r="F25" s="10"/>
      <c r="G25" s="10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28"/>
      <c r="B26" s="28"/>
      <c r="C26" s="28"/>
      <c r="D26" s="28"/>
      <c r="E26" s="10"/>
      <c r="F26" s="10"/>
      <c r="G26" s="10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28"/>
      <c r="B27" s="28"/>
      <c r="C27" s="28"/>
      <c r="D27" s="28"/>
      <c r="E27" s="10"/>
      <c r="F27" s="10"/>
      <c r="G27" s="10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4" x14ac:dyDescent="0.2">
      <c r="A28" s="28"/>
      <c r="B28" s="28"/>
      <c r="C28" s="28"/>
      <c r="D28" s="28"/>
      <c r="E28" s="10"/>
      <c r="F28" s="10"/>
      <c r="G28" s="10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4" x14ac:dyDescent="0.2">
      <c r="A29" s="28"/>
      <c r="B29" s="28"/>
      <c r="C29" s="28"/>
      <c r="D29" s="28"/>
      <c r="E29" s="10"/>
      <c r="F29" s="10"/>
      <c r="G29" s="10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" x14ac:dyDescent="0.2">
      <c r="A30" s="28"/>
      <c r="B30" s="28"/>
      <c r="C30" s="28"/>
      <c r="D30" s="28"/>
      <c r="E30" s="10"/>
      <c r="F30" s="10"/>
      <c r="G30" s="1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" x14ac:dyDescent="0.2">
      <c r="A31" s="28"/>
      <c r="B31" s="28"/>
      <c r="C31" s="28"/>
      <c r="D31" s="28"/>
      <c r="E31" s="10"/>
      <c r="F31" s="10"/>
      <c r="G31" s="10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" x14ac:dyDescent="0.2">
      <c r="A32" s="28"/>
      <c r="B32" s="28"/>
      <c r="C32" s="28"/>
      <c r="D32" s="28"/>
      <c r="E32" s="10"/>
      <c r="F32" s="10"/>
      <c r="G32" s="10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x14ac:dyDescent="0.2">
      <c r="A33" s="28"/>
      <c r="B33" s="28"/>
      <c r="C33" s="28"/>
      <c r="D33" s="28"/>
      <c r="E33" s="10"/>
      <c r="F33" s="10"/>
      <c r="G33" s="10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x14ac:dyDescent="0.2">
      <c r="A34" s="28"/>
      <c r="B34" s="28"/>
      <c r="C34" s="28"/>
      <c r="D34" s="28"/>
      <c r="E34" s="10"/>
      <c r="F34" s="10"/>
      <c r="G34" s="1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x14ac:dyDescent="0.2">
      <c r="A35" s="28"/>
      <c r="B35" s="28"/>
      <c r="C35" s="28"/>
      <c r="D35" s="28"/>
      <c r="E35" s="10"/>
      <c r="F35" s="10"/>
      <c r="G35" s="10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" x14ac:dyDescent="0.2">
      <c r="A36" s="28"/>
      <c r="B36" s="28"/>
      <c r="C36" s="28"/>
      <c r="D36" s="28"/>
      <c r="E36" s="10"/>
      <c r="F36" s="10"/>
      <c r="G36" s="10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" x14ac:dyDescent="0.2">
      <c r="A37" s="28"/>
      <c r="B37" s="28"/>
      <c r="C37" s="28"/>
      <c r="D37" s="28"/>
      <c r="E37" s="10"/>
      <c r="F37" s="10"/>
      <c r="G37" s="10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" x14ac:dyDescent="0.2">
      <c r="A38" s="28"/>
      <c r="B38" s="28"/>
      <c r="C38" s="28"/>
      <c r="D38" s="28"/>
      <c r="E38" s="10"/>
      <c r="F38" s="10"/>
      <c r="G38" s="10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" x14ac:dyDescent="0.2">
      <c r="A39" s="28"/>
      <c r="B39" s="28"/>
      <c r="C39" s="28"/>
      <c r="D39" s="28"/>
      <c r="E39" s="10"/>
      <c r="F39" s="10"/>
      <c r="G39" s="1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" x14ac:dyDescent="0.2">
      <c r="A40" s="28"/>
      <c r="B40" s="28"/>
      <c r="C40" s="28"/>
      <c r="D40" s="28"/>
      <c r="E40" s="10"/>
      <c r="F40" s="10"/>
      <c r="G40" s="1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x14ac:dyDescent="0.2">
      <c r="A41" s="28"/>
      <c r="B41" s="28"/>
      <c r="C41" s="28"/>
      <c r="D41" s="28"/>
      <c r="E41" s="10"/>
      <c r="F41" s="10"/>
      <c r="G41" s="1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x14ac:dyDescent="0.2">
      <c r="A42" s="28"/>
      <c r="B42" s="28"/>
      <c r="C42" s="28"/>
      <c r="D42" s="28"/>
      <c r="E42" s="10"/>
      <c r="F42" s="10"/>
      <c r="G42" s="1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" x14ac:dyDescent="0.2">
      <c r="A43" s="28"/>
      <c r="B43" s="28"/>
      <c r="C43" s="28"/>
      <c r="D43" s="28"/>
      <c r="E43" s="10"/>
      <c r="F43" s="10"/>
      <c r="G43" s="1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" x14ac:dyDescent="0.2">
      <c r="A44" s="28"/>
      <c r="B44" s="28"/>
      <c r="C44" s="28"/>
      <c r="D44" s="28"/>
      <c r="E44" s="10"/>
      <c r="F44" s="10"/>
      <c r="G44" s="1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" x14ac:dyDescent="0.2">
      <c r="A45" s="28"/>
      <c r="B45" s="28"/>
      <c r="C45" s="28"/>
      <c r="D45" s="28"/>
      <c r="E45" s="10"/>
      <c r="F45" s="10"/>
      <c r="G45" s="1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" x14ac:dyDescent="0.2">
      <c r="A46" s="28"/>
      <c r="B46" s="28"/>
      <c r="C46" s="28"/>
      <c r="D46" s="28"/>
      <c r="E46" s="10"/>
      <c r="F46" s="10"/>
      <c r="G46" s="1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" x14ac:dyDescent="0.2">
      <c r="A47" s="28"/>
      <c r="B47" s="28"/>
      <c r="C47" s="28"/>
      <c r="D47" s="28"/>
      <c r="E47" s="10"/>
      <c r="F47" s="10"/>
      <c r="G47" s="1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" x14ac:dyDescent="0.2">
      <c r="A48" s="28"/>
      <c r="B48" s="28"/>
      <c r="C48" s="28"/>
      <c r="D48" s="28"/>
      <c r="E48" s="10"/>
      <c r="F48" s="10"/>
      <c r="G48" s="1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" x14ac:dyDescent="0.2">
      <c r="A49" s="28"/>
      <c r="B49" s="28"/>
      <c r="C49" s="28"/>
      <c r="D49" s="28"/>
      <c r="E49" s="10"/>
      <c r="F49" s="10"/>
      <c r="G49" s="1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" x14ac:dyDescent="0.2">
      <c r="A50" s="28"/>
      <c r="B50" s="28"/>
      <c r="C50" s="28"/>
      <c r="D50" s="28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" x14ac:dyDescent="0.2">
      <c r="A51" s="28"/>
      <c r="B51" s="28"/>
      <c r="C51" s="28"/>
      <c r="D51" s="28"/>
      <c r="E51" s="10"/>
      <c r="F51" s="10"/>
      <c r="G51" s="1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" x14ac:dyDescent="0.2">
      <c r="A52" s="28"/>
      <c r="B52" s="28"/>
      <c r="C52" s="28"/>
      <c r="D52" s="28"/>
      <c r="E52" s="10"/>
      <c r="F52" s="10"/>
      <c r="G52" s="1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" x14ac:dyDescent="0.2">
      <c r="A53" s="28"/>
      <c r="B53" s="28"/>
      <c r="C53" s="28"/>
      <c r="D53" s="28"/>
      <c r="E53" s="10"/>
      <c r="F53" s="10"/>
      <c r="G53" s="1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" x14ac:dyDescent="0.2">
      <c r="A54" s="28"/>
      <c r="B54" s="28"/>
      <c r="C54" s="28"/>
      <c r="D54" s="28"/>
      <c r="E54" s="10"/>
      <c r="F54" s="10"/>
      <c r="G54" s="1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" x14ac:dyDescent="0.2">
      <c r="A55" s="28"/>
      <c r="B55" s="28"/>
      <c r="C55" s="28"/>
      <c r="D55" s="28"/>
      <c r="E55" s="10"/>
      <c r="F55" s="10"/>
      <c r="G55" s="1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" x14ac:dyDescent="0.2">
      <c r="A56" s="28"/>
      <c r="B56" s="28"/>
      <c r="C56" s="28"/>
      <c r="D56" s="28"/>
      <c r="E56" s="10"/>
      <c r="F56" s="10"/>
      <c r="G56" s="1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" x14ac:dyDescent="0.2">
      <c r="A57" s="28"/>
      <c r="B57" s="28"/>
      <c r="C57" s="28"/>
      <c r="D57" s="28"/>
      <c r="E57" s="10"/>
      <c r="F57" s="10"/>
      <c r="G57" s="1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" x14ac:dyDescent="0.2">
      <c r="A58" s="28"/>
      <c r="B58" s="28"/>
      <c r="C58" s="28"/>
      <c r="D58" s="28"/>
      <c r="E58" s="10"/>
      <c r="F58" s="10"/>
      <c r="G58" s="1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" x14ac:dyDescent="0.2">
      <c r="A59" s="28"/>
      <c r="B59" s="28"/>
      <c r="C59" s="28"/>
      <c r="D59" s="28"/>
      <c r="E59" s="10"/>
      <c r="F59" s="10"/>
      <c r="G59" s="1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 x14ac:dyDescent="0.15">
      <c r="A60" s="28"/>
      <c r="B60" s="28"/>
      <c r="C60" s="28"/>
      <c r="D60" s="28"/>
      <c r="E60" s="29"/>
      <c r="F60" s="29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 x14ac:dyDescent="0.15">
      <c r="A61" s="28"/>
      <c r="B61" s="28"/>
      <c r="C61" s="28"/>
      <c r="D61" s="28"/>
      <c r="E61" s="29"/>
      <c r="F61" s="29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 x14ac:dyDescent="0.15">
      <c r="A62" s="28"/>
      <c r="B62" s="28"/>
      <c r="C62" s="28"/>
      <c r="D62" s="28"/>
      <c r="E62" s="29"/>
      <c r="F62" s="29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 x14ac:dyDescent="0.15">
      <c r="A63" s="28"/>
      <c r="B63" s="28"/>
      <c r="C63" s="28"/>
      <c r="D63" s="28"/>
      <c r="E63" s="29"/>
      <c r="F63" s="29"/>
      <c r="G63" s="29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 x14ac:dyDescent="0.15">
      <c r="A64" s="28"/>
      <c r="B64" s="28"/>
      <c r="C64" s="28"/>
      <c r="D64" s="28"/>
      <c r="E64" s="29"/>
      <c r="F64" s="29"/>
      <c r="G64" s="29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" x14ac:dyDescent="0.15">
      <c r="A65" s="28"/>
      <c r="B65" s="28"/>
      <c r="C65" s="28"/>
      <c r="D65" s="28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" x14ac:dyDescent="0.15">
      <c r="A66" s="28"/>
      <c r="B66" s="28"/>
      <c r="C66" s="28"/>
      <c r="D66" s="28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" x14ac:dyDescent="0.15">
      <c r="A67" s="28"/>
      <c r="B67" s="28"/>
      <c r="C67" s="28"/>
      <c r="D67" s="28"/>
      <c r="E67" s="29"/>
      <c r="F67" s="29"/>
      <c r="G67" s="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" x14ac:dyDescent="0.15">
      <c r="A68" s="28"/>
      <c r="B68" s="28"/>
      <c r="C68" s="28"/>
      <c r="D68" s="28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" x14ac:dyDescent="0.15">
      <c r="A69" s="28"/>
      <c r="B69" s="28"/>
      <c r="C69" s="28"/>
      <c r="D69" s="28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" x14ac:dyDescent="0.15">
      <c r="A70" s="28"/>
      <c r="B70" s="28"/>
      <c r="C70" s="28"/>
      <c r="D70" s="28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" x14ac:dyDescent="0.15">
      <c r="A71" s="28"/>
      <c r="B71" s="28"/>
      <c r="C71" s="28"/>
      <c r="D71" s="28"/>
      <c r="E71" s="29"/>
      <c r="F71" s="29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" x14ac:dyDescent="0.15">
      <c r="A72" s="28"/>
      <c r="B72" s="28"/>
      <c r="C72" s="28"/>
      <c r="D72" s="28"/>
      <c r="E72" s="29"/>
      <c r="F72" s="29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" x14ac:dyDescent="0.15">
      <c r="A73" s="28"/>
      <c r="B73" s="28"/>
      <c r="C73" s="28"/>
      <c r="D73" s="28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" x14ac:dyDescent="0.15">
      <c r="A74" s="28"/>
      <c r="B74" s="28"/>
      <c r="C74" s="28"/>
      <c r="D74" s="28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" x14ac:dyDescent="0.15">
      <c r="A75" s="28"/>
      <c r="B75" s="28"/>
      <c r="C75" s="28"/>
      <c r="D75" s="28"/>
      <c r="E75" s="29"/>
      <c r="F75" s="29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" x14ac:dyDescent="0.15">
      <c r="A76" s="28"/>
      <c r="B76" s="28"/>
      <c r="C76" s="28"/>
      <c r="D76" s="28"/>
      <c r="E76" s="29"/>
      <c r="F76" s="29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" x14ac:dyDescent="0.15">
      <c r="A77" s="28"/>
      <c r="B77" s="28"/>
      <c r="C77" s="28"/>
      <c r="D77" s="28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" x14ac:dyDescent="0.15">
      <c r="A78" s="28"/>
      <c r="B78" s="28"/>
      <c r="C78" s="28"/>
      <c r="D78" s="28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" x14ac:dyDescent="0.15">
      <c r="A79" s="28"/>
      <c r="B79" s="28"/>
      <c r="C79" s="28"/>
      <c r="D79" s="28"/>
      <c r="E79" s="29"/>
      <c r="F79" s="29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" x14ac:dyDescent="0.15">
      <c r="A80" s="28"/>
      <c r="B80" s="28"/>
      <c r="C80" s="28"/>
      <c r="D80" s="28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" x14ac:dyDescent="0.15">
      <c r="A81" s="28"/>
      <c r="B81" s="28"/>
      <c r="C81" s="28"/>
      <c r="D81" s="28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" x14ac:dyDescent="0.15">
      <c r="A82" s="28"/>
      <c r="B82" s="28"/>
      <c r="C82" s="28"/>
      <c r="D82" s="28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" x14ac:dyDescent="0.15">
      <c r="A83" s="28"/>
      <c r="B83" s="28"/>
      <c r="C83" s="28"/>
      <c r="D83" s="28"/>
      <c r="E83" s="29"/>
      <c r="F83" s="29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" x14ac:dyDescent="0.15">
      <c r="A84" s="28"/>
      <c r="B84" s="28"/>
      <c r="C84" s="28"/>
      <c r="D84" s="28"/>
      <c r="E84" s="29"/>
      <c r="F84" s="29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" x14ac:dyDescent="0.15">
      <c r="A85" s="28"/>
      <c r="B85" s="28"/>
      <c r="C85" s="28"/>
      <c r="D85" s="28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" x14ac:dyDescent="0.15">
      <c r="A86" s="28"/>
      <c r="B86" s="28"/>
      <c r="C86" s="28"/>
      <c r="D86" s="28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" x14ac:dyDescent="0.15">
      <c r="A87" s="28"/>
      <c r="B87" s="28"/>
      <c r="C87" s="28"/>
      <c r="D87" s="28"/>
      <c r="E87" s="29"/>
      <c r="F87" s="29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" x14ac:dyDescent="0.15">
      <c r="A88" s="28"/>
      <c r="B88" s="28"/>
      <c r="C88" s="28"/>
      <c r="D88" s="28"/>
      <c r="E88" s="29"/>
      <c r="F88" s="29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" x14ac:dyDescent="0.15">
      <c r="A89" s="28"/>
      <c r="B89" s="28"/>
      <c r="C89" s="28"/>
      <c r="D89" s="28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" x14ac:dyDescent="0.15">
      <c r="A90" s="28"/>
      <c r="B90" s="28"/>
      <c r="C90" s="28"/>
      <c r="D90" s="28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" x14ac:dyDescent="0.15">
      <c r="A91" s="28"/>
      <c r="B91" s="28"/>
      <c r="C91" s="28"/>
      <c r="D91" s="28"/>
      <c r="E91" s="29"/>
      <c r="F91" s="29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x14ac:dyDescent="0.15">
      <c r="A92" s="28"/>
      <c r="B92" s="28"/>
      <c r="C92" s="28"/>
      <c r="D92" s="28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x14ac:dyDescent="0.15">
      <c r="A93" s="28"/>
      <c r="B93" s="28"/>
      <c r="C93" s="28"/>
      <c r="D93" s="28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x14ac:dyDescent="0.15">
      <c r="A94" s="28"/>
      <c r="B94" s="28"/>
      <c r="C94" s="28"/>
      <c r="D94" s="28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x14ac:dyDescent="0.15">
      <c r="A95" s="28"/>
      <c r="B95" s="28"/>
      <c r="C95" s="28"/>
      <c r="D95" s="28"/>
      <c r="E95" s="29"/>
      <c r="F95" s="29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x14ac:dyDescent="0.15">
      <c r="A96" s="28"/>
      <c r="B96" s="28"/>
      <c r="C96" s="28"/>
      <c r="D96" s="28"/>
      <c r="E96" s="29"/>
      <c r="F96" s="29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x14ac:dyDescent="0.15">
      <c r="A97" s="28"/>
      <c r="B97" s="28"/>
      <c r="C97" s="28"/>
      <c r="D97" s="28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x14ac:dyDescent="0.15">
      <c r="A98" s="28"/>
      <c r="B98" s="28"/>
      <c r="C98" s="28"/>
      <c r="D98" s="28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x14ac:dyDescent="0.15">
      <c r="A99" s="28"/>
      <c r="B99" s="28"/>
      <c r="C99" s="28"/>
      <c r="D99" s="28"/>
      <c r="E99" s="29"/>
      <c r="F99" s="29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x14ac:dyDescent="0.15">
      <c r="A100" s="28"/>
      <c r="B100" s="28"/>
      <c r="C100" s="28"/>
      <c r="D100" s="28"/>
      <c r="E100" s="29"/>
      <c r="F100" s="29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x14ac:dyDescent="0.15">
      <c r="A101" s="28"/>
      <c r="B101" s="28"/>
      <c r="C101" s="28"/>
      <c r="D101" s="28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x14ac:dyDescent="0.15">
      <c r="A102" s="28"/>
      <c r="B102" s="28"/>
      <c r="C102" s="28"/>
      <c r="D102" s="28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x14ac:dyDescent="0.15">
      <c r="A103" s="28"/>
      <c r="B103" s="28"/>
      <c r="C103" s="28"/>
      <c r="D103" s="28"/>
      <c r="E103" s="29"/>
      <c r="F103" s="29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x14ac:dyDescent="0.15">
      <c r="A104" s="28"/>
      <c r="B104" s="28"/>
      <c r="C104" s="28"/>
      <c r="D104" s="28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x14ac:dyDescent="0.15">
      <c r="A105" s="28"/>
      <c r="B105" s="28"/>
      <c r="C105" s="28"/>
      <c r="D105" s="28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x14ac:dyDescent="0.15">
      <c r="A106" s="28"/>
      <c r="B106" s="28"/>
      <c r="C106" s="28"/>
      <c r="D106" s="28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x14ac:dyDescent="0.15">
      <c r="A107" s="28"/>
      <c r="B107" s="28"/>
      <c r="C107" s="28"/>
      <c r="D107" s="28"/>
      <c r="E107" s="29"/>
      <c r="F107" s="29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x14ac:dyDescent="0.15">
      <c r="A108" s="28"/>
      <c r="B108" s="28"/>
      <c r="C108" s="28"/>
      <c r="D108" s="28"/>
      <c r="E108" s="29"/>
      <c r="F108" s="29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x14ac:dyDescent="0.15">
      <c r="A109" s="28"/>
      <c r="B109" s="28"/>
      <c r="C109" s="28"/>
      <c r="D109" s="28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x14ac:dyDescent="0.15">
      <c r="A110" s="28"/>
      <c r="B110" s="28"/>
      <c r="C110" s="28"/>
      <c r="D110" s="28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x14ac:dyDescent="0.15">
      <c r="A111" s="28"/>
      <c r="B111" s="28"/>
      <c r="C111" s="28"/>
      <c r="D111" s="28"/>
      <c r="E111" s="29"/>
      <c r="F111" s="29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x14ac:dyDescent="0.15">
      <c r="A112" s="28"/>
      <c r="B112" s="28"/>
      <c r="C112" s="28"/>
      <c r="D112" s="28"/>
      <c r="E112" s="29"/>
      <c r="F112" s="29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x14ac:dyDescent="0.15">
      <c r="A113" s="28"/>
      <c r="B113" s="28"/>
      <c r="C113" s="28"/>
      <c r="D113" s="28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x14ac:dyDescent="0.15">
      <c r="A114" s="28"/>
      <c r="B114" s="28"/>
      <c r="C114" s="28"/>
      <c r="D114" s="28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x14ac:dyDescent="0.15">
      <c r="A115" s="28"/>
      <c r="B115" s="28"/>
      <c r="C115" s="28"/>
      <c r="D115" s="28"/>
      <c r="E115" s="29"/>
      <c r="F115" s="29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x14ac:dyDescent="0.15">
      <c r="A116" s="28"/>
      <c r="B116" s="28"/>
      <c r="C116" s="28"/>
      <c r="D116" s="28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x14ac:dyDescent="0.15">
      <c r="A117" s="28"/>
      <c r="B117" s="28"/>
      <c r="C117" s="28"/>
      <c r="D117" s="28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x14ac:dyDescent="0.15">
      <c r="A118" s="28"/>
      <c r="B118" s="28"/>
      <c r="C118" s="28"/>
      <c r="D118" s="28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x14ac:dyDescent="0.15">
      <c r="A119" s="28"/>
      <c r="B119" s="28"/>
      <c r="C119" s="28"/>
      <c r="D119" s="28"/>
      <c r="E119" s="29"/>
      <c r="F119" s="29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x14ac:dyDescent="0.15">
      <c r="A120" s="28"/>
      <c r="B120" s="28"/>
      <c r="C120" s="28"/>
      <c r="D120" s="28"/>
      <c r="E120" s="29"/>
      <c r="F120" s="29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x14ac:dyDescent="0.15">
      <c r="A121" s="28"/>
      <c r="B121" s="28"/>
      <c r="C121" s="28"/>
      <c r="D121" s="28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x14ac:dyDescent="0.15">
      <c r="A122" s="28"/>
      <c r="B122" s="28"/>
      <c r="C122" s="28"/>
      <c r="D122" s="28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x14ac:dyDescent="0.15">
      <c r="A123" s="28"/>
      <c r="B123" s="28"/>
      <c r="C123" s="28"/>
      <c r="D123" s="28"/>
      <c r="E123" s="29"/>
      <c r="F123" s="29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x14ac:dyDescent="0.15">
      <c r="A124" s="28"/>
      <c r="B124" s="28"/>
      <c r="C124" s="28"/>
      <c r="D124" s="28"/>
      <c r="E124" s="29"/>
      <c r="F124" s="29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x14ac:dyDescent="0.15">
      <c r="A125" s="28"/>
      <c r="B125" s="28"/>
      <c r="C125" s="28"/>
      <c r="D125" s="28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x14ac:dyDescent="0.15">
      <c r="A126" s="28"/>
      <c r="B126" s="28"/>
      <c r="C126" s="28"/>
      <c r="D126" s="28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x14ac:dyDescent="0.15">
      <c r="A127" s="28"/>
      <c r="B127" s="28"/>
      <c r="C127" s="28"/>
      <c r="D127" s="28"/>
      <c r="E127" s="29"/>
      <c r="F127" s="29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x14ac:dyDescent="0.15">
      <c r="A128" s="28"/>
      <c r="B128" s="28"/>
      <c r="C128" s="28"/>
      <c r="D128" s="28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x14ac:dyDescent="0.15">
      <c r="A129" s="28"/>
      <c r="B129" s="28"/>
      <c r="C129" s="28"/>
      <c r="D129" s="28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x14ac:dyDescent="0.15">
      <c r="A130" s="28"/>
      <c r="B130" s="28"/>
      <c r="C130" s="28"/>
      <c r="D130" s="28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x14ac:dyDescent="0.15">
      <c r="A131" s="28"/>
      <c r="B131" s="28"/>
      <c r="C131" s="28"/>
      <c r="D131" s="28"/>
      <c r="E131" s="29"/>
      <c r="F131" s="29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x14ac:dyDescent="0.15">
      <c r="A132" s="28"/>
      <c r="B132" s="28"/>
      <c r="C132" s="28"/>
      <c r="D132" s="28"/>
      <c r="E132" s="29"/>
      <c r="F132" s="29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x14ac:dyDescent="0.15">
      <c r="A133" s="28"/>
      <c r="B133" s="28"/>
      <c r="C133" s="28"/>
      <c r="D133" s="28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x14ac:dyDescent="0.15">
      <c r="A134" s="28"/>
      <c r="B134" s="28"/>
      <c r="C134" s="28"/>
      <c r="D134" s="28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x14ac:dyDescent="0.15">
      <c r="A135" s="28"/>
      <c r="B135" s="28"/>
      <c r="C135" s="28"/>
      <c r="D135" s="28"/>
      <c r="E135" s="29"/>
      <c r="F135" s="29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x14ac:dyDescent="0.15">
      <c r="A136" s="28"/>
      <c r="B136" s="28"/>
      <c r="C136" s="28"/>
      <c r="D136" s="28"/>
      <c r="E136" s="29"/>
      <c r="F136" s="29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x14ac:dyDescent="0.15">
      <c r="A137" s="28"/>
      <c r="B137" s="28"/>
      <c r="C137" s="28"/>
      <c r="D137" s="28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x14ac:dyDescent="0.15">
      <c r="A138" s="28"/>
      <c r="B138" s="28"/>
      <c r="C138" s="28"/>
      <c r="D138" s="28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x14ac:dyDescent="0.15">
      <c r="A139" s="28"/>
      <c r="B139" s="28"/>
      <c r="C139" s="28"/>
      <c r="D139" s="28"/>
      <c r="E139" s="29"/>
      <c r="F139" s="29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x14ac:dyDescent="0.15">
      <c r="A141" s="28"/>
      <c r="B141" s="28"/>
      <c r="C141" s="28"/>
      <c r="D141" s="28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x14ac:dyDescent="0.15">
      <c r="A144" s="28"/>
      <c r="B144" s="28"/>
      <c r="C144" s="28"/>
      <c r="D144" s="28"/>
      <c r="E144" s="29"/>
      <c r="F144" s="29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x14ac:dyDescent="0.15">
      <c r="A145" s="28"/>
      <c r="B145" s="28"/>
      <c r="C145" s="28"/>
      <c r="D145" s="28"/>
      <c r="E145" s="29"/>
      <c r="F145" s="29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x14ac:dyDescent="0.15">
      <c r="A146" s="28"/>
      <c r="B146" s="28"/>
      <c r="C146" s="28"/>
      <c r="D146" s="28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x14ac:dyDescent="0.15">
      <c r="A147" s="28"/>
      <c r="B147" s="28"/>
      <c r="C147" s="28"/>
      <c r="D147" s="28"/>
      <c r="E147" s="29"/>
      <c r="F147" s="29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x14ac:dyDescent="0.15">
      <c r="A148" s="28"/>
      <c r="B148" s="28"/>
      <c r="C148" s="28"/>
      <c r="D148" s="28"/>
      <c r="E148" s="29"/>
      <c r="F148" s="29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x14ac:dyDescent="0.15">
      <c r="A149" s="28"/>
      <c r="B149" s="28"/>
      <c r="C149" s="28"/>
      <c r="D149" s="28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x14ac:dyDescent="0.15">
      <c r="A150" s="28"/>
      <c r="B150" s="28"/>
      <c r="C150" s="28"/>
      <c r="D150" s="28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x14ac:dyDescent="0.15">
      <c r="A151" s="28"/>
      <c r="B151" s="28"/>
      <c r="C151" s="28"/>
      <c r="D151" s="28"/>
      <c r="E151" s="29"/>
      <c r="F151" s="29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x14ac:dyDescent="0.15">
      <c r="A152" s="28"/>
      <c r="B152" s="28"/>
      <c r="C152" s="28"/>
      <c r="D152" s="28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x14ac:dyDescent="0.15">
      <c r="A153" s="28"/>
      <c r="B153" s="28"/>
      <c r="C153" s="28"/>
      <c r="D153" s="28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x14ac:dyDescent="0.15">
      <c r="A154" s="28"/>
      <c r="B154" s="28"/>
      <c r="C154" s="28"/>
      <c r="D154" s="28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x14ac:dyDescent="0.15">
      <c r="A155" s="28"/>
      <c r="B155" s="28"/>
      <c r="C155" s="28"/>
      <c r="D155" s="28"/>
      <c r="E155" s="29"/>
      <c r="F155" s="29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x14ac:dyDescent="0.15">
      <c r="A156" s="28"/>
      <c r="B156" s="28"/>
      <c r="C156" s="28"/>
      <c r="D156" s="28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x14ac:dyDescent="0.15">
      <c r="A157" s="28"/>
      <c r="B157" s="28"/>
      <c r="C157" s="28"/>
      <c r="D157" s="28"/>
      <c r="E157" s="29"/>
      <c r="F157" s="29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x14ac:dyDescent="0.15">
      <c r="A158" s="28"/>
      <c r="B158" s="28"/>
      <c r="C158" s="28"/>
      <c r="D158" s="28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x14ac:dyDescent="0.15">
      <c r="A159" s="28"/>
      <c r="B159" s="28"/>
      <c r="C159" s="28"/>
      <c r="D159" s="28"/>
      <c r="E159" s="29"/>
      <c r="F159" s="29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x14ac:dyDescent="0.15">
      <c r="A160" s="28"/>
      <c r="B160" s="28"/>
      <c r="C160" s="28"/>
      <c r="D160" s="28"/>
      <c r="E160" s="29"/>
      <c r="F160" s="29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x14ac:dyDescent="0.15">
      <c r="A161" s="28"/>
      <c r="B161" s="28"/>
      <c r="C161" s="28"/>
      <c r="D161" s="28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x14ac:dyDescent="0.15">
      <c r="A162" s="28"/>
      <c r="B162" s="28"/>
      <c r="C162" s="28"/>
      <c r="D162" s="28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x14ac:dyDescent="0.15">
      <c r="A163" s="28"/>
      <c r="B163" s="28"/>
      <c r="C163" s="28"/>
      <c r="D163" s="28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x14ac:dyDescent="0.15">
      <c r="A164" s="28"/>
      <c r="B164" s="28"/>
      <c r="C164" s="28"/>
      <c r="D164" s="28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x14ac:dyDescent="0.15">
      <c r="A165" s="28"/>
      <c r="B165" s="28"/>
      <c r="C165" s="28"/>
      <c r="D165" s="28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x14ac:dyDescent="0.15">
      <c r="A166" s="28"/>
      <c r="B166" s="28"/>
      <c r="C166" s="28"/>
      <c r="D166" s="28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x14ac:dyDescent="0.15">
      <c r="A167" s="28"/>
      <c r="B167" s="28"/>
      <c r="C167" s="28"/>
      <c r="D167" s="28"/>
      <c r="E167" s="29"/>
      <c r="F167" s="29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x14ac:dyDescent="0.15">
      <c r="A168" s="28"/>
      <c r="B168" s="28"/>
      <c r="C168" s="28"/>
      <c r="D168" s="28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x14ac:dyDescent="0.15">
      <c r="A169" s="28"/>
      <c r="B169" s="28"/>
      <c r="C169" s="28"/>
      <c r="D169" s="28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x14ac:dyDescent="0.15">
      <c r="A170" s="28"/>
      <c r="B170" s="28"/>
      <c r="C170" s="28"/>
      <c r="D170" s="28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x14ac:dyDescent="0.15">
      <c r="A171" s="28"/>
      <c r="B171" s="28"/>
      <c r="C171" s="28"/>
      <c r="D171" s="28"/>
      <c r="E171" s="29"/>
      <c r="F171" s="29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x14ac:dyDescent="0.15">
      <c r="A172" s="28"/>
      <c r="B172" s="28"/>
      <c r="C172" s="28"/>
      <c r="D172" s="28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x14ac:dyDescent="0.15">
      <c r="A173" s="28"/>
      <c r="B173" s="28"/>
      <c r="C173" s="28"/>
      <c r="D173" s="28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x14ac:dyDescent="0.15">
      <c r="A174" s="28"/>
      <c r="B174" s="28"/>
      <c r="C174" s="28"/>
      <c r="D174" s="28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x14ac:dyDescent="0.15">
      <c r="A175" s="28"/>
      <c r="B175" s="28"/>
      <c r="C175" s="28"/>
      <c r="D175" s="28"/>
      <c r="E175" s="29"/>
      <c r="F175" s="29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x14ac:dyDescent="0.15">
      <c r="A176" s="28"/>
      <c r="B176" s="28"/>
      <c r="C176" s="28"/>
      <c r="D176" s="28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x14ac:dyDescent="0.15">
      <c r="A177" s="28"/>
      <c r="B177" s="28"/>
      <c r="C177" s="28"/>
      <c r="D177" s="28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x14ac:dyDescent="0.15">
      <c r="A178" s="28"/>
      <c r="B178" s="28"/>
      <c r="C178" s="28"/>
      <c r="D178" s="28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x14ac:dyDescent="0.15">
      <c r="A215" s="28"/>
      <c r="B215" s="28"/>
      <c r="C215" s="28"/>
      <c r="D215" s="28"/>
      <c r="E215" s="29"/>
      <c r="F215" s="29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x14ac:dyDescent="0.15">
      <c r="A216" s="28"/>
      <c r="B216" s="28"/>
      <c r="C216" s="28"/>
      <c r="D216" s="28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x14ac:dyDescent="0.15">
      <c r="A217" s="28"/>
      <c r="B217" s="28"/>
      <c r="C217" s="28"/>
      <c r="D217" s="28"/>
      <c r="E217" s="29"/>
      <c r="F217" s="29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x14ac:dyDescent="0.15">
      <c r="A218" s="28"/>
      <c r="B218" s="28"/>
      <c r="C218" s="28"/>
      <c r="D218" s="28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x14ac:dyDescent="0.15">
      <c r="A219" s="28"/>
      <c r="B219" s="28"/>
      <c r="C219" s="28"/>
      <c r="D219" s="28"/>
      <c r="E219" s="29"/>
      <c r="F219" s="29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x14ac:dyDescent="0.15">
      <c r="A220" s="28"/>
      <c r="B220" s="28"/>
      <c r="C220" s="28"/>
      <c r="D220" s="28"/>
      <c r="E220" s="29"/>
      <c r="F220" s="29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x14ac:dyDescent="0.15">
      <c r="A221" s="28"/>
      <c r="B221" s="28"/>
      <c r="C221" s="28"/>
      <c r="D221" s="28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x14ac:dyDescent="0.15">
      <c r="A222" s="28"/>
      <c r="B222" s="28"/>
      <c r="C222" s="28"/>
      <c r="D222" s="28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x14ac:dyDescent="0.15">
      <c r="A223" s="28"/>
      <c r="B223" s="28"/>
      <c r="C223" s="28"/>
      <c r="D223" s="28"/>
      <c r="E223" s="29"/>
      <c r="F223" s="29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x14ac:dyDescent="0.15">
      <c r="A224" s="28"/>
      <c r="B224" s="28"/>
      <c r="C224" s="28"/>
      <c r="D224" s="28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x14ac:dyDescent="0.15">
      <c r="A225" s="28"/>
      <c r="B225" s="28"/>
      <c r="C225" s="28"/>
      <c r="D225" s="28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x14ac:dyDescent="0.15">
      <c r="A226" s="28"/>
      <c r="B226" s="28"/>
      <c r="C226" s="28"/>
      <c r="D226" s="28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x14ac:dyDescent="0.15">
      <c r="A227" s="28"/>
      <c r="B227" s="28"/>
      <c r="C227" s="28"/>
      <c r="D227" s="28"/>
      <c r="E227" s="29"/>
      <c r="F227" s="29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x14ac:dyDescent="0.15">
      <c r="A228" s="28"/>
      <c r="B228" s="28"/>
      <c r="C228" s="28"/>
      <c r="D228" s="28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x14ac:dyDescent="0.15">
      <c r="A229" s="28"/>
      <c r="B229" s="28"/>
      <c r="C229" s="28"/>
      <c r="D229" s="28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x14ac:dyDescent="0.15">
      <c r="A230" s="28"/>
      <c r="B230" s="28"/>
      <c r="C230" s="28"/>
      <c r="D230" s="28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x14ac:dyDescent="0.15">
      <c r="A231" s="28"/>
      <c r="B231" s="28"/>
      <c r="C231" s="28"/>
      <c r="D231" s="28"/>
      <c r="E231" s="29"/>
      <c r="F231" s="29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x14ac:dyDescent="0.15">
      <c r="A232" s="28"/>
      <c r="B232" s="28"/>
      <c r="C232" s="28"/>
      <c r="D232" s="28"/>
      <c r="E232" s="29"/>
      <c r="F232" s="29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x14ac:dyDescent="0.15">
      <c r="A233" s="28"/>
      <c r="B233" s="28"/>
      <c r="C233" s="28"/>
      <c r="D233" s="28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x14ac:dyDescent="0.15">
      <c r="A234" s="28"/>
      <c r="B234" s="28"/>
      <c r="C234" s="28"/>
      <c r="D234" s="28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x14ac:dyDescent="0.15">
      <c r="A235" s="28"/>
      <c r="B235" s="28"/>
      <c r="C235" s="28"/>
      <c r="D235" s="28"/>
      <c r="E235" s="29"/>
      <c r="F235" s="29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x14ac:dyDescent="0.15">
      <c r="A236" s="28"/>
      <c r="B236" s="28"/>
      <c r="C236" s="28"/>
      <c r="D236" s="28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" x14ac:dyDescent="0.15">
      <c r="A237" s="28"/>
      <c r="B237" s="28"/>
      <c r="C237" s="28"/>
      <c r="D237" s="28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" x14ac:dyDescent="0.15">
      <c r="A238" s="28"/>
      <c r="B238" s="28"/>
      <c r="C238" s="28"/>
      <c r="D238" s="28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" x14ac:dyDescent="0.15">
      <c r="A239" s="28"/>
      <c r="B239" s="28"/>
      <c r="C239" s="28"/>
      <c r="D239" s="28"/>
      <c r="E239" s="29"/>
      <c r="F239" s="29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" x14ac:dyDescent="0.15">
      <c r="A240" s="28"/>
      <c r="B240" s="28"/>
      <c r="C240" s="28"/>
      <c r="D240" s="28"/>
      <c r="E240" s="29"/>
      <c r="F240" s="29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" x14ac:dyDescent="0.15">
      <c r="A241" s="28"/>
      <c r="B241" s="28"/>
      <c r="C241" s="28"/>
      <c r="D241" s="28"/>
      <c r="E241" s="29"/>
      <c r="F241" s="29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" x14ac:dyDescent="0.15">
      <c r="A242" s="28"/>
      <c r="B242" s="28"/>
      <c r="C242" s="28"/>
      <c r="D242" s="28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" x14ac:dyDescent="0.15">
      <c r="A243" s="28"/>
      <c r="B243" s="28"/>
      <c r="C243" s="28"/>
      <c r="D243" s="28"/>
      <c r="E243" s="29"/>
      <c r="F243" s="29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" x14ac:dyDescent="0.15">
      <c r="A244" s="28"/>
      <c r="B244" s="28"/>
      <c r="C244" s="28"/>
      <c r="D244" s="28"/>
      <c r="E244" s="29"/>
      <c r="F244" s="29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" x14ac:dyDescent="0.15">
      <c r="A245" s="28"/>
      <c r="B245" s="28"/>
      <c r="C245" s="28"/>
      <c r="D245" s="28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" x14ac:dyDescent="0.15">
      <c r="A246" s="28"/>
      <c r="B246" s="28"/>
      <c r="C246" s="28"/>
      <c r="D246" s="28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" x14ac:dyDescent="0.15">
      <c r="A247" s="28"/>
      <c r="B247" s="28"/>
      <c r="C247" s="28"/>
      <c r="D247" s="28"/>
      <c r="E247" s="29"/>
      <c r="F247" s="29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" x14ac:dyDescent="0.15">
      <c r="A248" s="28"/>
      <c r="B248" s="28"/>
      <c r="C248" s="28"/>
      <c r="D248" s="28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" x14ac:dyDescent="0.15">
      <c r="A249" s="28"/>
      <c r="B249" s="28"/>
      <c r="C249" s="28"/>
      <c r="D249" s="28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x14ac:dyDescent="0.15">
      <c r="A250" s="28"/>
      <c r="B250" s="28"/>
      <c r="C250" s="28"/>
      <c r="D250" s="28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x14ac:dyDescent="0.15">
      <c r="A251" s="28"/>
      <c r="B251" s="28"/>
      <c r="C251" s="28"/>
      <c r="D251" s="28"/>
      <c r="E251" s="29"/>
      <c r="F251" s="29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x14ac:dyDescent="0.15">
      <c r="A252" s="28"/>
      <c r="B252" s="28"/>
      <c r="C252" s="28"/>
      <c r="D252" s="28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x14ac:dyDescent="0.15">
      <c r="A253" s="28"/>
      <c r="B253" s="28"/>
      <c r="C253" s="28"/>
      <c r="D253" s="28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x14ac:dyDescent="0.15">
      <c r="A254" s="28"/>
      <c r="B254" s="28"/>
      <c r="C254" s="28"/>
      <c r="D254" s="28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x14ac:dyDescent="0.15">
      <c r="A255" s="28"/>
      <c r="B255" s="28"/>
      <c r="C255" s="28"/>
      <c r="D255" s="28"/>
      <c r="E255" s="29"/>
      <c r="F255" s="29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x14ac:dyDescent="0.15">
      <c r="A256" s="28"/>
      <c r="B256" s="28"/>
      <c r="C256" s="28"/>
      <c r="D256" s="28"/>
      <c r="E256" s="29"/>
      <c r="F256" s="29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x14ac:dyDescent="0.15">
      <c r="A257" s="28"/>
      <c r="B257" s="28"/>
      <c r="C257" s="28"/>
      <c r="D257" s="28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x14ac:dyDescent="0.15">
      <c r="A258" s="28"/>
      <c r="B258" s="28"/>
      <c r="C258" s="28"/>
      <c r="D258" s="28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x14ac:dyDescent="0.15">
      <c r="A259" s="28"/>
      <c r="B259" s="28"/>
      <c r="C259" s="28"/>
      <c r="D259" s="28"/>
      <c r="E259" s="29"/>
      <c r="F259" s="29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x14ac:dyDescent="0.15">
      <c r="A260" s="28"/>
      <c r="B260" s="28"/>
      <c r="C260" s="28"/>
      <c r="D260" s="28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x14ac:dyDescent="0.15">
      <c r="A261" s="28"/>
      <c r="B261" s="28"/>
      <c r="C261" s="28"/>
      <c r="D261" s="28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x14ac:dyDescent="0.15">
      <c r="A262" s="28"/>
      <c r="B262" s="28"/>
      <c r="C262" s="28"/>
      <c r="D262" s="28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x14ac:dyDescent="0.15">
      <c r="A263" s="28"/>
      <c r="B263" s="28"/>
      <c r="C263" s="28"/>
      <c r="D263" s="28"/>
      <c r="E263" s="29"/>
      <c r="F263" s="29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x14ac:dyDescent="0.15">
      <c r="A264" s="28"/>
      <c r="B264" s="28"/>
      <c r="C264" s="28"/>
      <c r="D264" s="28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x14ac:dyDescent="0.15">
      <c r="A265" s="28"/>
      <c r="B265" s="28"/>
      <c r="C265" s="28"/>
      <c r="D265" s="28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x14ac:dyDescent="0.15">
      <c r="A266" s="28"/>
      <c r="B266" s="28"/>
      <c r="C266" s="28"/>
      <c r="D266" s="28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x14ac:dyDescent="0.15">
      <c r="A267" s="28"/>
      <c r="B267" s="28"/>
      <c r="C267" s="28"/>
      <c r="D267" s="28"/>
      <c r="E267" s="29"/>
      <c r="F267" s="29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x14ac:dyDescent="0.15">
      <c r="A268" s="28"/>
      <c r="B268" s="28"/>
      <c r="C268" s="28"/>
      <c r="D268" s="28"/>
      <c r="E268" s="29"/>
      <c r="F268" s="29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x14ac:dyDescent="0.15">
      <c r="A269" s="28"/>
      <c r="B269" s="28"/>
      <c r="C269" s="28"/>
      <c r="D269" s="28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x14ac:dyDescent="0.15">
      <c r="A270" s="28"/>
      <c r="B270" s="28"/>
      <c r="C270" s="28"/>
      <c r="D270" s="28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x14ac:dyDescent="0.15">
      <c r="A271" s="28"/>
      <c r="B271" s="28"/>
      <c r="C271" s="28"/>
      <c r="D271" s="28"/>
      <c r="E271" s="29"/>
      <c r="F271" s="29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x14ac:dyDescent="0.15">
      <c r="A286" s="28"/>
      <c r="B286" s="28"/>
      <c r="C286" s="28"/>
      <c r="D286" s="28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x14ac:dyDescent="0.15">
      <c r="A287" s="28"/>
      <c r="B287" s="28"/>
      <c r="C287" s="28"/>
      <c r="D287" s="28"/>
      <c r="E287" s="29"/>
      <c r="F287" s="29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x14ac:dyDescent="0.15">
      <c r="A288" s="28"/>
      <c r="B288" s="28"/>
      <c r="C288" s="28"/>
      <c r="D288" s="28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x14ac:dyDescent="0.15">
      <c r="A289" s="28"/>
      <c r="B289" s="28"/>
      <c r="C289" s="28"/>
      <c r="D289" s="28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x14ac:dyDescent="0.15">
      <c r="A290" s="28"/>
      <c r="B290" s="28"/>
      <c r="C290" s="28"/>
      <c r="D290" s="28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x14ac:dyDescent="0.15">
      <c r="A291" s="28"/>
      <c r="B291" s="28"/>
      <c r="C291" s="28"/>
      <c r="D291" s="28"/>
      <c r="E291" s="29"/>
      <c r="F291" s="29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x14ac:dyDescent="0.15">
      <c r="A292" s="28"/>
      <c r="B292" s="28"/>
      <c r="C292" s="28"/>
      <c r="D292" s="28"/>
      <c r="E292" s="29"/>
      <c r="F292" s="29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x14ac:dyDescent="0.15">
      <c r="A293" s="28"/>
      <c r="B293" s="28"/>
      <c r="C293" s="28"/>
      <c r="D293" s="28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x14ac:dyDescent="0.15">
      <c r="A294" s="28"/>
      <c r="B294" s="28"/>
      <c r="C294" s="28"/>
      <c r="D294" s="28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x14ac:dyDescent="0.15">
      <c r="A295" s="28"/>
      <c r="B295" s="28"/>
      <c r="C295" s="28"/>
      <c r="D295" s="28"/>
      <c r="E295" s="29"/>
      <c r="F295" s="29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x14ac:dyDescent="0.15">
      <c r="A296" s="28"/>
      <c r="B296" s="28"/>
      <c r="C296" s="28"/>
      <c r="D296" s="28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x14ac:dyDescent="0.15">
      <c r="A297" s="28"/>
      <c r="B297" s="28"/>
      <c r="C297" s="28"/>
      <c r="D297" s="28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x14ac:dyDescent="0.15">
      <c r="A298" s="28"/>
      <c r="B298" s="28"/>
      <c r="C298" s="28"/>
      <c r="D298" s="28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x14ac:dyDescent="0.15">
      <c r="A299" s="28"/>
      <c r="B299" s="28"/>
      <c r="C299" s="28"/>
      <c r="D299" s="28"/>
      <c r="E299" s="29"/>
      <c r="F299" s="29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x14ac:dyDescent="0.15">
      <c r="A300" s="28"/>
      <c r="B300" s="28"/>
      <c r="C300" s="28"/>
      <c r="D300" s="28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x14ac:dyDescent="0.15">
      <c r="A301" s="28"/>
      <c r="B301" s="28"/>
      <c r="C301" s="28"/>
      <c r="D301" s="28"/>
      <c r="E301" s="29"/>
      <c r="F301" s="29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x14ac:dyDescent="0.15">
      <c r="A302" s="28"/>
      <c r="B302" s="28"/>
      <c r="C302" s="28"/>
      <c r="D302" s="28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x14ac:dyDescent="0.15">
      <c r="A303" s="28"/>
      <c r="B303" s="28"/>
      <c r="C303" s="28"/>
      <c r="D303" s="28"/>
      <c r="E303" s="29"/>
      <c r="F303" s="29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x14ac:dyDescent="0.15">
      <c r="A304" s="28"/>
      <c r="B304" s="28"/>
      <c r="C304" s="28"/>
      <c r="D304" s="28"/>
      <c r="E304" s="29"/>
      <c r="F304" s="29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x14ac:dyDescent="0.15">
      <c r="A305" s="28"/>
      <c r="B305" s="28"/>
      <c r="C305" s="28"/>
      <c r="D305" s="28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x14ac:dyDescent="0.15">
      <c r="A306" s="28"/>
      <c r="B306" s="28"/>
      <c r="C306" s="28"/>
      <c r="D306" s="28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x14ac:dyDescent="0.15">
      <c r="A307" s="28"/>
      <c r="B307" s="28"/>
      <c r="C307" s="28"/>
      <c r="D307" s="28"/>
      <c r="E307" s="29"/>
      <c r="F307" s="29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x14ac:dyDescent="0.15">
      <c r="A308" s="28"/>
      <c r="B308" s="28"/>
      <c r="C308" s="28"/>
      <c r="D308" s="28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x14ac:dyDescent="0.15">
      <c r="A309" s="28"/>
      <c r="B309" s="28"/>
      <c r="C309" s="28"/>
      <c r="D309" s="28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x14ac:dyDescent="0.15">
      <c r="A310" s="28"/>
      <c r="B310" s="28"/>
      <c r="C310" s="28"/>
      <c r="D310" s="28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x14ac:dyDescent="0.15">
      <c r="A311" s="28"/>
      <c r="B311" s="28"/>
      <c r="C311" s="28"/>
      <c r="D311" s="28"/>
      <c r="E311" s="29"/>
      <c r="F311" s="29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x14ac:dyDescent="0.15">
      <c r="A312" s="28"/>
      <c r="B312" s="28"/>
      <c r="C312" s="28"/>
      <c r="D312" s="28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x14ac:dyDescent="0.15">
      <c r="A313" s="28"/>
      <c r="B313" s="28"/>
      <c r="C313" s="28"/>
      <c r="D313" s="28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x14ac:dyDescent="0.15">
      <c r="A314" s="28"/>
      <c r="B314" s="28"/>
      <c r="C314" s="28"/>
      <c r="D314" s="28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x14ac:dyDescent="0.15">
      <c r="A315" s="28"/>
      <c r="B315" s="28"/>
      <c r="C315" s="28"/>
      <c r="D315" s="28"/>
      <c r="E315" s="29"/>
      <c r="F315" s="29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x14ac:dyDescent="0.15">
      <c r="A316" s="28"/>
      <c r="B316" s="28"/>
      <c r="C316" s="28"/>
      <c r="D316" s="28"/>
      <c r="E316" s="29"/>
      <c r="F316" s="29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x14ac:dyDescent="0.15">
      <c r="A317" s="28"/>
      <c r="B317" s="28"/>
      <c r="C317" s="28"/>
      <c r="D317" s="28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x14ac:dyDescent="0.15">
      <c r="A318" s="28"/>
      <c r="B318" s="28"/>
      <c r="C318" s="28"/>
      <c r="D318" s="28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x14ac:dyDescent="0.15">
      <c r="A319" s="28"/>
      <c r="B319" s="28"/>
      <c r="C319" s="28"/>
      <c r="D319" s="28"/>
      <c r="E319" s="29"/>
      <c r="F319" s="29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x14ac:dyDescent="0.15">
      <c r="A320" s="28"/>
      <c r="B320" s="28"/>
      <c r="C320" s="28"/>
      <c r="D320" s="28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</sheetData>
  <conditionalFormatting sqref="E2:G723">
    <cfRule type="cellIs" dxfId="60" priority="1" operator="greaterThan">
      <formula>0</formula>
    </cfRule>
    <cfRule type="cellIs" dxfId="59" priority="2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711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561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78</v>
      </c>
      <c r="D4" s="1">
        <v>4045</v>
      </c>
      <c r="E4" s="10">
        <v>0</v>
      </c>
      <c r="F4" s="10">
        <v>-10000</v>
      </c>
      <c r="G4" s="10"/>
      <c r="H4" s="30"/>
      <c r="I4" s="30"/>
      <c r="J4" s="30"/>
    </row>
    <row r="5" spans="1:10" ht="15" x14ac:dyDescent="0.2">
      <c r="A5" s="1"/>
      <c r="B5" s="1"/>
      <c r="C5" s="1" t="s">
        <v>562</v>
      </c>
      <c r="D5" s="1">
        <v>4030</v>
      </c>
      <c r="E5" s="10">
        <v>0</v>
      </c>
      <c r="F5" s="10">
        <v>-6000</v>
      </c>
      <c r="G5" s="10"/>
      <c r="H5" s="30"/>
      <c r="I5" s="30"/>
      <c r="J5" s="30"/>
    </row>
    <row r="6" spans="1:10" ht="15" x14ac:dyDescent="0.2">
      <c r="A6" s="1"/>
      <c r="B6" s="1"/>
      <c r="C6" s="1" t="s">
        <v>79</v>
      </c>
      <c r="D6" s="1">
        <v>5411</v>
      </c>
      <c r="E6" s="10">
        <v>0</v>
      </c>
      <c r="F6" s="10">
        <v>-3000</v>
      </c>
      <c r="G6" s="10"/>
      <c r="H6" s="30"/>
      <c r="I6" s="30"/>
      <c r="J6" s="30"/>
    </row>
    <row r="7" spans="1:10" ht="15" x14ac:dyDescent="0.2">
      <c r="A7" s="1"/>
      <c r="B7" s="1"/>
      <c r="C7" s="1"/>
      <c r="D7" s="1"/>
      <c r="E7" s="10"/>
      <c r="F7" s="10"/>
      <c r="G7" s="10"/>
      <c r="H7" s="30"/>
      <c r="I7" s="30"/>
      <c r="J7" s="30"/>
    </row>
    <row r="8" spans="1:10" ht="15" x14ac:dyDescent="0.2">
      <c r="A8" s="1"/>
      <c r="B8" s="1"/>
      <c r="C8" s="25" t="s">
        <v>80</v>
      </c>
      <c r="D8" s="1"/>
      <c r="E8" s="10">
        <f>SUM(E4:E5)</f>
        <v>0</v>
      </c>
      <c r="F8" s="10">
        <f>SUM(F4:F7)</f>
        <v>-19000</v>
      </c>
      <c r="G8" s="10">
        <f>E8+F8</f>
        <v>-19000</v>
      </c>
      <c r="H8" s="30"/>
      <c r="I8" s="30"/>
      <c r="J8" s="30"/>
    </row>
    <row r="9" spans="1:10" ht="15.75" customHeight="1" x14ac:dyDescent="0.15">
      <c r="E9" s="33"/>
      <c r="F9" s="33"/>
      <c r="G9" s="33"/>
    </row>
    <row r="10" spans="1:10" ht="14" x14ac:dyDescent="0.2">
      <c r="C10" s="25" t="s">
        <v>102</v>
      </c>
      <c r="D10" s="1"/>
      <c r="E10" s="8">
        <f t="shared" ref="E10:F10" si="0">SUMIFS(E2:E9,$C2:$C9,"Subsubtotal")</f>
        <v>0</v>
      </c>
      <c r="F10" s="31">
        <f t="shared" si="0"/>
        <v>-19000</v>
      </c>
      <c r="G10" s="10">
        <f>SUM(G2:G9)</f>
        <v>-19000</v>
      </c>
    </row>
    <row r="11" spans="1:10" ht="15.75" customHeight="1" x14ac:dyDescent="0.15">
      <c r="E11" s="33"/>
      <c r="F11" s="33"/>
      <c r="G11" s="33"/>
    </row>
    <row r="12" spans="1:10" ht="15.75" customHeight="1" x14ac:dyDescent="0.15">
      <c r="E12" s="33"/>
      <c r="F12" s="33"/>
      <c r="G12" s="33"/>
    </row>
    <row r="13" spans="1:10" ht="14" x14ac:dyDescent="0.2">
      <c r="E13" s="10"/>
      <c r="F13" s="10"/>
      <c r="G13" s="10"/>
    </row>
    <row r="14" spans="1:10" ht="14" x14ac:dyDescent="0.2">
      <c r="E14" s="10"/>
      <c r="F14" s="10"/>
      <c r="G14" s="10"/>
    </row>
    <row r="15" spans="1:10" ht="14" x14ac:dyDescent="0.2">
      <c r="E15" s="10"/>
      <c r="F15" s="10"/>
      <c r="G15" s="10"/>
    </row>
    <row r="16" spans="1:10" ht="14" x14ac:dyDescent="0.2">
      <c r="E16" s="10"/>
      <c r="F16" s="10"/>
      <c r="G16" s="10"/>
    </row>
    <row r="17" spans="5:7" ht="14" x14ac:dyDescent="0.2">
      <c r="E17" s="10"/>
      <c r="F17" s="10"/>
      <c r="G17" s="10"/>
    </row>
    <row r="18" spans="5:7" ht="14" x14ac:dyDescent="0.2">
      <c r="E18" s="10"/>
      <c r="F18" s="10"/>
      <c r="G18" s="10"/>
    </row>
    <row r="19" spans="5:7" ht="14" x14ac:dyDescent="0.2">
      <c r="E19" s="10"/>
      <c r="F19" s="10"/>
      <c r="G19" s="10"/>
    </row>
    <row r="20" spans="5:7" ht="14" x14ac:dyDescent="0.2">
      <c r="E20" s="10"/>
      <c r="F20" s="10"/>
      <c r="G20" s="10"/>
    </row>
    <row r="21" spans="5:7" ht="14" x14ac:dyDescent="0.2">
      <c r="E21" s="10"/>
      <c r="F21" s="10"/>
      <c r="G21" s="10"/>
    </row>
    <row r="22" spans="5:7" ht="14" x14ac:dyDescent="0.2">
      <c r="E22" s="10"/>
      <c r="F22" s="10"/>
      <c r="G22" s="10"/>
    </row>
    <row r="23" spans="5:7" ht="14" x14ac:dyDescent="0.2">
      <c r="E23" s="10"/>
      <c r="F23" s="10"/>
      <c r="G23" s="10"/>
    </row>
    <row r="24" spans="5:7" ht="14" x14ac:dyDescent="0.2">
      <c r="E24" s="10"/>
      <c r="F24" s="10"/>
      <c r="G24" s="10"/>
    </row>
    <row r="25" spans="5:7" ht="14" x14ac:dyDescent="0.2">
      <c r="E25" s="10"/>
      <c r="F25" s="10"/>
      <c r="G25" s="10"/>
    </row>
    <row r="26" spans="5:7" ht="14" x14ac:dyDescent="0.2">
      <c r="E26" s="10"/>
      <c r="F26" s="10"/>
      <c r="G26" s="10"/>
    </row>
    <row r="27" spans="5:7" ht="14" x14ac:dyDescent="0.2">
      <c r="E27" s="10"/>
      <c r="F27" s="10"/>
      <c r="G27" s="10"/>
    </row>
    <row r="28" spans="5:7" ht="14" x14ac:dyDescent="0.2">
      <c r="E28" s="10"/>
      <c r="F28" s="10"/>
      <c r="G28" s="10"/>
    </row>
    <row r="29" spans="5:7" ht="14" x14ac:dyDescent="0.2">
      <c r="E29" s="10"/>
      <c r="F29" s="10"/>
      <c r="G29" s="10"/>
    </row>
    <row r="30" spans="5:7" ht="14" x14ac:dyDescent="0.2">
      <c r="E30" s="10"/>
      <c r="F30" s="10"/>
      <c r="G30" s="10"/>
    </row>
    <row r="31" spans="5:7" ht="14" x14ac:dyDescent="0.2">
      <c r="E31" s="10"/>
      <c r="F31" s="10"/>
      <c r="G31" s="10"/>
    </row>
    <row r="32" spans="5:7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5.75" customHeight="1" x14ac:dyDescent="0.15">
      <c r="E48" s="33"/>
      <c r="F48" s="33"/>
      <c r="G48" s="33"/>
    </row>
    <row r="49" spans="5:7" ht="15.75" customHeight="1" x14ac:dyDescent="0.15">
      <c r="E49" s="33"/>
      <c r="F49" s="33"/>
      <c r="G49" s="33"/>
    </row>
    <row r="50" spans="5:7" ht="15.75" customHeight="1" x14ac:dyDescent="0.15">
      <c r="E50" s="33"/>
      <c r="F50" s="33"/>
      <c r="G50" s="33"/>
    </row>
    <row r="51" spans="5:7" ht="15.75" customHeight="1" x14ac:dyDescent="0.15">
      <c r="E51" s="33"/>
      <c r="F51" s="33"/>
      <c r="G51" s="33"/>
    </row>
    <row r="52" spans="5:7" ht="15.75" customHeight="1" x14ac:dyDescent="0.15">
      <c r="E52" s="33"/>
      <c r="F52" s="33"/>
      <c r="G52" s="33"/>
    </row>
    <row r="53" spans="5:7" ht="15.75" customHeight="1" x14ac:dyDescent="0.15">
      <c r="E53" s="33"/>
      <c r="F53" s="33"/>
      <c r="G53" s="33"/>
    </row>
    <row r="54" spans="5:7" ht="15.75" customHeight="1" x14ac:dyDescent="0.15">
      <c r="E54" s="33"/>
      <c r="F54" s="33"/>
      <c r="G54" s="33"/>
    </row>
    <row r="55" spans="5:7" ht="15.75" customHeight="1" x14ac:dyDescent="0.15">
      <c r="E55" s="33"/>
      <c r="F55" s="33"/>
      <c r="G55" s="33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</sheetData>
  <conditionalFormatting sqref="E2:G711">
    <cfRule type="cellIs" dxfId="58" priority="1" operator="greaterThan">
      <formula>0</formula>
    </cfRule>
    <cfRule type="cellIs" dxfId="57" priority="2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J71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46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1"/>
      <c r="I3" s="30"/>
      <c r="J3" s="30"/>
    </row>
    <row r="4" spans="1:10" ht="15" x14ac:dyDescent="0.2">
      <c r="A4" s="1"/>
      <c r="B4" s="1"/>
      <c r="C4" s="1" t="s">
        <v>563</v>
      </c>
      <c r="D4" s="1">
        <v>3030</v>
      </c>
      <c r="E4" s="10">
        <v>5000</v>
      </c>
      <c r="F4" s="10">
        <v>0</v>
      </c>
      <c r="G4" s="10"/>
      <c r="H4" s="1"/>
      <c r="I4" s="30"/>
      <c r="J4" s="30"/>
    </row>
    <row r="5" spans="1:10" ht="15" x14ac:dyDescent="0.2">
      <c r="A5" s="1"/>
      <c r="B5" s="1"/>
      <c r="C5" s="1" t="s">
        <v>564</v>
      </c>
      <c r="D5" s="1">
        <v>6150</v>
      </c>
      <c r="E5" s="10">
        <v>0</v>
      </c>
      <c r="F5" s="10">
        <v>-14000</v>
      </c>
      <c r="G5" s="10"/>
      <c r="H5" s="1"/>
      <c r="I5" s="30"/>
      <c r="J5" s="30"/>
    </row>
    <row r="6" spans="1:10" ht="15" x14ac:dyDescent="0.2">
      <c r="A6" s="1"/>
      <c r="B6" s="1"/>
      <c r="C6" s="1" t="s">
        <v>565</v>
      </c>
      <c r="D6" s="1">
        <v>6250</v>
      </c>
      <c r="E6" s="10">
        <v>0</v>
      </c>
      <c r="F6" s="10">
        <v>-1000</v>
      </c>
      <c r="G6" s="10"/>
      <c r="H6" s="1"/>
      <c r="I6" s="30"/>
      <c r="J6" s="30"/>
    </row>
    <row r="7" spans="1:10" ht="15" x14ac:dyDescent="0.2">
      <c r="A7" s="1"/>
      <c r="B7" s="1"/>
      <c r="C7" s="1"/>
      <c r="D7" s="1"/>
      <c r="E7" s="10"/>
      <c r="F7" s="10"/>
      <c r="G7" s="10"/>
      <c r="H7" s="1"/>
      <c r="I7" s="30"/>
      <c r="J7" s="30"/>
    </row>
    <row r="8" spans="1:10" ht="15" x14ac:dyDescent="0.2">
      <c r="A8" s="1"/>
      <c r="B8" s="1"/>
      <c r="C8" s="25" t="s">
        <v>80</v>
      </c>
      <c r="D8" s="1"/>
      <c r="E8" s="10">
        <f t="shared" ref="E8:F8" si="0">SUM(E2:E6)</f>
        <v>5000</v>
      </c>
      <c r="F8" s="10">
        <f t="shared" si="0"/>
        <v>-15000</v>
      </c>
      <c r="G8" s="10">
        <f>E8+F8</f>
        <v>-10000</v>
      </c>
      <c r="H8" s="1"/>
      <c r="I8" s="30"/>
      <c r="J8" s="30"/>
    </row>
    <row r="9" spans="1:10" ht="15" x14ac:dyDescent="0.2">
      <c r="A9" s="1"/>
      <c r="B9" s="1"/>
      <c r="C9" s="1"/>
      <c r="D9" s="1"/>
      <c r="E9" s="10"/>
      <c r="F9" s="10"/>
      <c r="G9" s="10"/>
      <c r="H9" s="1"/>
      <c r="I9" s="30"/>
      <c r="J9" s="30"/>
    </row>
    <row r="10" spans="1:10" ht="15" x14ac:dyDescent="0.2">
      <c r="A10" s="1"/>
      <c r="B10" s="25" t="s">
        <v>81</v>
      </c>
      <c r="C10" s="1"/>
      <c r="D10" s="1"/>
      <c r="E10" s="10"/>
      <c r="F10" s="10"/>
      <c r="G10" s="10"/>
      <c r="H10" s="1"/>
      <c r="I10" s="30"/>
      <c r="J10" s="30"/>
    </row>
    <row r="11" spans="1:10" ht="15" x14ac:dyDescent="0.2">
      <c r="A11" s="1"/>
      <c r="B11" s="1"/>
      <c r="C11" s="1" t="s">
        <v>82</v>
      </c>
      <c r="D11" s="1">
        <v>7631</v>
      </c>
      <c r="E11" s="10">
        <v>0</v>
      </c>
      <c r="F11" s="10">
        <v>-3750</v>
      </c>
      <c r="G11" s="10"/>
      <c r="H11" s="1"/>
      <c r="I11" s="30"/>
      <c r="J11" s="30"/>
    </row>
    <row r="12" spans="1:10" ht="15" x14ac:dyDescent="0.2">
      <c r="A12" s="1"/>
      <c r="B12" s="1"/>
      <c r="C12" s="1" t="s">
        <v>83</v>
      </c>
      <c r="D12" s="1">
        <v>7691</v>
      </c>
      <c r="E12" s="10">
        <v>0</v>
      </c>
      <c r="F12" s="10">
        <v>-2250</v>
      </c>
      <c r="G12" s="10"/>
      <c r="H12" s="1"/>
      <c r="I12" s="30"/>
      <c r="J12" s="30"/>
    </row>
    <row r="13" spans="1:10" ht="15" x14ac:dyDescent="0.2">
      <c r="A13" s="1"/>
      <c r="B13" s="1"/>
      <c r="C13" s="1" t="s">
        <v>84</v>
      </c>
      <c r="D13" s="1">
        <v>3044</v>
      </c>
      <c r="E13" s="10">
        <v>1500</v>
      </c>
      <c r="F13" s="10">
        <v>0</v>
      </c>
      <c r="G13" s="10"/>
      <c r="H13" s="1"/>
      <c r="I13" s="30"/>
      <c r="J13" s="30"/>
    </row>
    <row r="14" spans="1:10" ht="15" x14ac:dyDescent="0.2">
      <c r="A14" s="1"/>
      <c r="B14" s="1"/>
      <c r="C14" s="1" t="s">
        <v>85</v>
      </c>
      <c r="D14" s="1">
        <v>4044</v>
      </c>
      <c r="E14" s="25">
        <v>0</v>
      </c>
      <c r="F14" s="25">
        <v>-3000</v>
      </c>
      <c r="G14" s="1"/>
      <c r="H14" s="1"/>
      <c r="I14" s="30"/>
      <c r="J14" s="30"/>
    </row>
    <row r="15" spans="1:10" ht="15" x14ac:dyDescent="0.2">
      <c r="A15" s="1"/>
      <c r="B15" s="1"/>
      <c r="C15" s="1"/>
      <c r="D15" s="1"/>
      <c r="E15" s="10"/>
      <c r="F15" s="10"/>
      <c r="G15" s="10"/>
      <c r="H15" s="1"/>
      <c r="I15" s="30"/>
      <c r="J15" s="30"/>
    </row>
    <row r="16" spans="1:10" ht="15" x14ac:dyDescent="0.2">
      <c r="A16" s="1"/>
      <c r="B16" s="1"/>
      <c r="C16" s="25" t="s">
        <v>80</v>
      </c>
      <c r="D16" s="1"/>
      <c r="E16" s="10">
        <f t="shared" ref="E16:F16" si="1">SUM(E11:E14)</f>
        <v>1500</v>
      </c>
      <c r="F16" s="10">
        <f t="shared" si="1"/>
        <v>-9000</v>
      </c>
      <c r="G16" s="10">
        <f>E16+F16</f>
        <v>-7500</v>
      </c>
      <c r="H16" s="1"/>
      <c r="I16" s="30"/>
      <c r="J16" s="30"/>
    </row>
    <row r="17" spans="1:10" ht="15" x14ac:dyDescent="0.2">
      <c r="A17" s="1"/>
      <c r="B17" s="1"/>
      <c r="C17" s="1"/>
      <c r="D17" s="1"/>
      <c r="E17" s="10"/>
      <c r="F17" s="10"/>
      <c r="G17" s="10"/>
      <c r="H17" s="1"/>
      <c r="I17" s="30"/>
      <c r="J17" s="30"/>
    </row>
    <row r="18" spans="1:10" ht="14" x14ac:dyDescent="0.2">
      <c r="C18" s="25" t="s">
        <v>102</v>
      </c>
      <c r="D18" s="1"/>
      <c r="E18" s="8">
        <f t="shared" ref="E18:F18" si="2">SUMIFS(E2:E17,$C2:$C17,"Subsubtotal")</f>
        <v>6500</v>
      </c>
      <c r="F18" s="31">
        <f t="shared" si="2"/>
        <v>-24000</v>
      </c>
      <c r="G18" s="10">
        <f>SUM(G2:G17)</f>
        <v>-17500</v>
      </c>
    </row>
    <row r="19" spans="1:10" ht="15.75" customHeight="1" x14ac:dyDescent="0.15">
      <c r="E19" s="33"/>
      <c r="F19" s="33"/>
      <c r="G19" s="33"/>
    </row>
    <row r="20" spans="1:10" ht="15.75" customHeight="1" x14ac:dyDescent="0.15">
      <c r="E20" s="33"/>
      <c r="F20" s="33"/>
      <c r="G20" s="33"/>
    </row>
    <row r="21" spans="1:10" ht="14" x14ac:dyDescent="0.2">
      <c r="E21" s="10"/>
      <c r="F21" s="10"/>
      <c r="G21" s="10"/>
    </row>
    <row r="22" spans="1:10" ht="14" x14ac:dyDescent="0.2">
      <c r="E22" s="10"/>
      <c r="F22" s="10"/>
      <c r="G22" s="10"/>
    </row>
    <row r="23" spans="1:10" ht="14" x14ac:dyDescent="0.2">
      <c r="E23" s="10"/>
      <c r="F23" s="10"/>
      <c r="G23" s="10"/>
    </row>
    <row r="24" spans="1:10" ht="14" x14ac:dyDescent="0.2">
      <c r="E24" s="10"/>
      <c r="F24" s="10"/>
      <c r="G24" s="10"/>
    </row>
    <row r="25" spans="1:10" ht="14" x14ac:dyDescent="0.2">
      <c r="E25" s="10"/>
      <c r="F25" s="10"/>
      <c r="G25" s="10"/>
    </row>
    <row r="26" spans="1:10" ht="14" x14ac:dyDescent="0.2">
      <c r="E26" s="10"/>
      <c r="F26" s="10"/>
      <c r="G26" s="10"/>
    </row>
    <row r="27" spans="1:10" ht="14" x14ac:dyDescent="0.2">
      <c r="E27" s="10"/>
      <c r="F27" s="10"/>
      <c r="G27" s="10"/>
    </row>
    <row r="28" spans="1:10" ht="14" x14ac:dyDescent="0.2">
      <c r="E28" s="10"/>
      <c r="F28" s="10"/>
      <c r="G28" s="10"/>
    </row>
    <row r="29" spans="1:10" ht="14" x14ac:dyDescent="0.2">
      <c r="E29" s="10"/>
      <c r="F29" s="10"/>
      <c r="G29" s="10"/>
    </row>
    <row r="30" spans="1:10" ht="14" x14ac:dyDescent="0.2">
      <c r="E30" s="10"/>
      <c r="F30" s="10"/>
      <c r="G30" s="10"/>
    </row>
    <row r="31" spans="1:10" ht="14" x14ac:dyDescent="0.2">
      <c r="E31" s="10"/>
      <c r="F31" s="10"/>
      <c r="G31" s="10"/>
    </row>
    <row r="32" spans="1:10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4" x14ac:dyDescent="0.2">
      <c r="E55" s="10"/>
      <c r="F55" s="10"/>
      <c r="G55" s="10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</sheetData>
  <conditionalFormatting sqref="E2:G719">
    <cfRule type="cellIs" dxfId="56" priority="1" operator="greaterThan">
      <formula>0</formula>
    </cfRule>
    <cfRule type="cellIs" dxfId="55" priority="2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76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566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34"/>
      <c r="F3" s="34"/>
      <c r="G3" s="34"/>
      <c r="H3" s="1"/>
      <c r="I3" s="1"/>
      <c r="J3" s="30"/>
    </row>
    <row r="4" spans="1:10" ht="15" x14ac:dyDescent="0.2">
      <c r="A4" s="1"/>
      <c r="B4" s="1"/>
      <c r="C4" s="1" t="s">
        <v>567</v>
      </c>
      <c r="D4" s="61">
        <v>3026</v>
      </c>
      <c r="E4" s="62">
        <v>30000</v>
      </c>
      <c r="F4" s="62">
        <v>0</v>
      </c>
      <c r="G4" s="10"/>
      <c r="H4" s="1"/>
      <c r="I4" s="1"/>
      <c r="J4" s="30"/>
    </row>
    <row r="5" spans="1:10" ht="15" x14ac:dyDescent="0.2">
      <c r="A5" s="1"/>
      <c r="B5" s="1"/>
      <c r="C5" s="1" t="s">
        <v>568</v>
      </c>
      <c r="D5" s="61">
        <v>4026</v>
      </c>
      <c r="E5" s="62">
        <v>0</v>
      </c>
      <c r="F5" s="62">
        <v>-25000</v>
      </c>
      <c r="G5" s="10"/>
      <c r="H5" s="1"/>
      <c r="I5" s="1"/>
      <c r="J5" s="30"/>
    </row>
    <row r="6" spans="1:10" ht="15" x14ac:dyDescent="0.2">
      <c r="A6" s="1"/>
      <c r="B6" s="1"/>
      <c r="C6" s="1" t="s">
        <v>569</v>
      </c>
      <c r="D6" s="61">
        <v>4021</v>
      </c>
      <c r="E6" s="62">
        <v>0</v>
      </c>
      <c r="F6" s="62">
        <v>-11100</v>
      </c>
      <c r="G6" s="10"/>
      <c r="H6" s="1"/>
      <c r="I6" s="1"/>
      <c r="J6" s="30"/>
    </row>
    <row r="7" spans="1:10" ht="15" x14ac:dyDescent="0.2">
      <c r="A7" s="1"/>
      <c r="B7" s="1"/>
      <c r="C7" s="1" t="s">
        <v>570</v>
      </c>
      <c r="D7" s="61">
        <v>5460</v>
      </c>
      <c r="E7" s="62">
        <v>0</v>
      </c>
      <c r="F7" s="62">
        <v>-25000</v>
      </c>
      <c r="G7" s="10"/>
      <c r="H7" s="1"/>
      <c r="I7" s="1"/>
      <c r="J7" s="30"/>
    </row>
    <row r="8" spans="1:10" ht="15" x14ac:dyDescent="0.2">
      <c r="A8" s="1"/>
      <c r="B8" s="1"/>
      <c r="C8" s="1" t="s">
        <v>571</v>
      </c>
      <c r="D8" s="61">
        <v>5410</v>
      </c>
      <c r="E8" s="62">
        <v>0</v>
      </c>
      <c r="F8" s="62">
        <v>-25000</v>
      </c>
      <c r="G8" s="10"/>
      <c r="H8" s="1"/>
      <c r="I8" s="1"/>
      <c r="J8" s="30"/>
    </row>
    <row r="9" spans="1:10" ht="15" x14ac:dyDescent="0.2">
      <c r="A9" s="1"/>
      <c r="B9" s="1"/>
      <c r="C9" s="1" t="s">
        <v>572</v>
      </c>
      <c r="D9" s="61">
        <v>5510</v>
      </c>
      <c r="E9" s="62">
        <v>0</v>
      </c>
      <c r="F9" s="62">
        <v>-5000</v>
      </c>
      <c r="G9" s="10"/>
      <c r="H9" s="1"/>
      <c r="I9" s="1"/>
      <c r="J9" s="30"/>
    </row>
    <row r="10" spans="1:10" ht="15" x14ac:dyDescent="0.2">
      <c r="A10" s="1"/>
      <c r="B10" s="1"/>
      <c r="C10" s="1" t="s">
        <v>573</v>
      </c>
      <c r="D10" s="61">
        <v>5464</v>
      </c>
      <c r="E10" s="62">
        <v>0</v>
      </c>
      <c r="F10" s="62">
        <v>-6000</v>
      </c>
      <c r="G10" s="10"/>
      <c r="H10" s="1"/>
      <c r="I10" s="1"/>
      <c r="J10" s="30"/>
    </row>
    <row r="11" spans="1:10" ht="15" x14ac:dyDescent="0.2">
      <c r="A11" s="1"/>
      <c r="B11" s="1"/>
      <c r="C11" s="1" t="s">
        <v>574</v>
      </c>
      <c r="D11" s="1">
        <v>7620</v>
      </c>
      <c r="E11" s="10">
        <v>0</v>
      </c>
      <c r="F11" s="10">
        <v>-2000</v>
      </c>
      <c r="G11" s="10"/>
      <c r="H11" s="1" t="s">
        <v>575</v>
      </c>
      <c r="I11" s="1"/>
      <c r="J11" s="30"/>
    </row>
    <row r="12" spans="1:10" ht="15" x14ac:dyDescent="0.2">
      <c r="A12" s="1"/>
      <c r="B12" s="1"/>
      <c r="C12" s="1" t="s">
        <v>576</v>
      </c>
      <c r="D12" s="61" t="s">
        <v>577</v>
      </c>
      <c r="E12" s="10">
        <v>0</v>
      </c>
      <c r="F12" s="10">
        <v>-1500</v>
      </c>
      <c r="G12" s="10"/>
      <c r="H12" s="1"/>
      <c r="I12" s="1"/>
      <c r="J12" s="30"/>
    </row>
    <row r="13" spans="1:10" ht="15" x14ac:dyDescent="0.2">
      <c r="A13" s="1"/>
      <c r="B13" s="1"/>
      <c r="C13" s="1"/>
      <c r="D13" s="1"/>
      <c r="E13" s="10"/>
      <c r="F13" s="10"/>
      <c r="G13" s="10"/>
      <c r="H13" s="1"/>
      <c r="I13" s="1"/>
      <c r="J13" s="30"/>
    </row>
    <row r="14" spans="1:10" ht="15" x14ac:dyDescent="0.2">
      <c r="A14" s="1"/>
      <c r="B14" s="1"/>
      <c r="C14" s="25" t="s">
        <v>80</v>
      </c>
      <c r="D14" s="1"/>
      <c r="E14" s="10">
        <f t="shared" ref="E14:F14" si="0">SUM(E4:E10)</f>
        <v>30000</v>
      </c>
      <c r="F14" s="10">
        <f t="shared" si="0"/>
        <v>-97100</v>
      </c>
      <c r="G14" s="10">
        <f>E14+F14</f>
        <v>-67100</v>
      </c>
      <c r="H14" s="1"/>
      <c r="I14" s="1"/>
      <c r="J14" s="30"/>
    </row>
    <row r="15" spans="1:10" ht="15" x14ac:dyDescent="0.2">
      <c r="A15" s="1"/>
      <c r="B15" s="1"/>
      <c r="C15" s="1"/>
      <c r="D15" s="1"/>
      <c r="E15" s="25"/>
      <c r="F15" s="10"/>
      <c r="G15" s="10"/>
      <c r="H15" s="1"/>
      <c r="I15" s="1"/>
      <c r="J15" s="30"/>
    </row>
    <row r="16" spans="1:10" ht="15" x14ac:dyDescent="0.2">
      <c r="A16" s="1"/>
      <c r="B16" s="25" t="s">
        <v>81</v>
      </c>
      <c r="C16" s="1"/>
      <c r="D16" s="1"/>
      <c r="E16" s="10"/>
      <c r="F16" s="10"/>
      <c r="G16" s="10"/>
      <c r="H16" s="1"/>
      <c r="I16" s="1"/>
      <c r="J16" s="30"/>
    </row>
    <row r="17" spans="1:10" ht="15" x14ac:dyDescent="0.2">
      <c r="A17" s="1"/>
      <c r="B17" s="1"/>
      <c r="C17" s="1" t="s">
        <v>82</v>
      </c>
      <c r="D17" s="61">
        <v>7631</v>
      </c>
      <c r="E17" s="62">
        <v>0</v>
      </c>
      <c r="F17" s="62">
        <v>-15000</v>
      </c>
      <c r="G17" s="10"/>
      <c r="H17" s="1"/>
      <c r="I17" s="1"/>
      <c r="J17" s="30"/>
    </row>
    <row r="18" spans="1:10" ht="15" x14ac:dyDescent="0.2">
      <c r="A18" s="1"/>
      <c r="B18" s="1"/>
      <c r="C18" s="1" t="s">
        <v>83</v>
      </c>
      <c r="D18" s="61">
        <v>7691</v>
      </c>
      <c r="E18" s="62">
        <v>0</v>
      </c>
      <c r="F18" s="10">
        <v>-9000</v>
      </c>
      <c r="G18" s="10"/>
      <c r="H18" s="1"/>
      <c r="I18" s="1"/>
      <c r="J18" s="30"/>
    </row>
    <row r="19" spans="1:10" ht="15" x14ac:dyDescent="0.2">
      <c r="A19" s="1"/>
      <c r="B19" s="1"/>
      <c r="C19" s="1" t="s">
        <v>84</v>
      </c>
      <c r="D19" s="61">
        <v>3044</v>
      </c>
      <c r="E19" s="62">
        <v>7500</v>
      </c>
      <c r="F19" s="62">
        <v>0</v>
      </c>
      <c r="G19" s="10"/>
      <c r="H19" s="1"/>
      <c r="I19" s="1"/>
      <c r="J19" s="30"/>
    </row>
    <row r="20" spans="1:10" ht="15" x14ac:dyDescent="0.2">
      <c r="A20" s="1"/>
      <c r="B20" s="1"/>
      <c r="C20" s="1" t="s">
        <v>85</v>
      </c>
      <c r="D20" s="61">
        <v>4044</v>
      </c>
      <c r="E20" s="62">
        <v>0</v>
      </c>
      <c r="F20" s="62">
        <v>-15000</v>
      </c>
      <c r="G20" s="10"/>
      <c r="H20" s="1"/>
      <c r="I20" s="1"/>
      <c r="J20" s="30"/>
    </row>
    <row r="21" spans="1:10" ht="15" x14ac:dyDescent="0.2">
      <c r="A21" s="1"/>
      <c r="B21" s="1"/>
      <c r="C21" s="1" t="s">
        <v>131</v>
      </c>
      <c r="D21" s="61">
        <v>7630</v>
      </c>
      <c r="E21" s="62">
        <v>0</v>
      </c>
      <c r="F21" s="62">
        <v>-2000</v>
      </c>
      <c r="G21" s="10"/>
      <c r="H21" s="1"/>
      <c r="I21" s="1"/>
      <c r="J21" s="30"/>
    </row>
    <row r="22" spans="1:10" ht="15" x14ac:dyDescent="0.2">
      <c r="A22" s="1"/>
      <c r="B22" s="1"/>
      <c r="C22" s="1"/>
      <c r="D22" s="1"/>
      <c r="E22" s="10"/>
      <c r="F22" s="10"/>
      <c r="G22" s="10"/>
      <c r="H22" s="1"/>
      <c r="I22" s="1"/>
      <c r="J22" s="30"/>
    </row>
    <row r="23" spans="1:10" ht="15" x14ac:dyDescent="0.2">
      <c r="A23" s="1"/>
      <c r="B23" s="1"/>
      <c r="C23" s="25" t="s">
        <v>80</v>
      </c>
      <c r="D23" s="1"/>
      <c r="E23" s="10">
        <f t="shared" ref="E23:F23" si="1">SUM(E17:E21)</f>
        <v>7500</v>
      </c>
      <c r="F23" s="10">
        <f t="shared" si="1"/>
        <v>-41000</v>
      </c>
      <c r="G23" s="10">
        <f>E23+F23</f>
        <v>-33500</v>
      </c>
      <c r="H23" s="1"/>
      <c r="I23" s="1"/>
      <c r="J23" s="30"/>
    </row>
    <row r="24" spans="1:10" ht="15" x14ac:dyDescent="0.2">
      <c r="A24" s="1"/>
      <c r="B24" s="1"/>
      <c r="C24" s="1"/>
      <c r="D24" s="1"/>
      <c r="E24" s="10"/>
      <c r="F24" s="10"/>
      <c r="G24" s="10"/>
      <c r="H24" s="1"/>
      <c r="I24" s="1"/>
      <c r="J24" s="30"/>
    </row>
    <row r="25" spans="1:10" ht="15" x14ac:dyDescent="0.2">
      <c r="A25" s="1"/>
      <c r="B25" s="25" t="s">
        <v>578</v>
      </c>
      <c r="C25" s="1"/>
      <c r="D25" s="1"/>
      <c r="E25" s="10"/>
      <c r="F25" s="10"/>
      <c r="G25" s="10"/>
      <c r="H25" s="1"/>
      <c r="I25" s="1"/>
      <c r="J25" s="30"/>
    </row>
    <row r="26" spans="1:10" ht="15" x14ac:dyDescent="0.2">
      <c r="A26" s="1"/>
      <c r="B26" s="1"/>
      <c r="C26" s="1" t="s">
        <v>579</v>
      </c>
      <c r="D26" s="61">
        <v>5010</v>
      </c>
      <c r="E26" s="62">
        <v>0</v>
      </c>
      <c r="F26" s="62">
        <v>-2400</v>
      </c>
      <c r="G26" s="10"/>
      <c r="H26" s="1"/>
      <c r="I26" s="1"/>
      <c r="J26" s="30"/>
    </row>
    <row r="27" spans="1:10" ht="15" x14ac:dyDescent="0.2">
      <c r="A27" s="1"/>
      <c r="B27" s="1"/>
      <c r="C27" s="1" t="s">
        <v>83</v>
      </c>
      <c r="D27" s="61">
        <v>7691</v>
      </c>
      <c r="E27" s="62">
        <v>0</v>
      </c>
      <c r="F27" s="62">
        <v>-2000</v>
      </c>
      <c r="G27" s="10"/>
      <c r="H27" s="1"/>
      <c r="I27" s="1"/>
      <c r="J27" s="30"/>
    </row>
    <row r="28" spans="1:10" ht="15" x14ac:dyDescent="0.2">
      <c r="A28" s="1"/>
      <c r="B28" s="1"/>
      <c r="C28" s="1"/>
      <c r="D28" s="1"/>
      <c r="E28" s="25"/>
      <c r="F28" s="10"/>
      <c r="G28" s="10"/>
      <c r="H28" s="1"/>
      <c r="I28" s="1"/>
      <c r="J28" s="30"/>
    </row>
    <row r="29" spans="1:10" ht="15" x14ac:dyDescent="0.2">
      <c r="A29" s="1"/>
      <c r="B29" s="1"/>
      <c r="C29" s="25" t="s">
        <v>80</v>
      </c>
      <c r="D29" s="1"/>
      <c r="E29" s="10">
        <f t="shared" ref="E29:F29" si="2">SUM(E26:E27)</f>
        <v>0</v>
      </c>
      <c r="F29" s="10">
        <f t="shared" si="2"/>
        <v>-4400</v>
      </c>
      <c r="G29" s="10">
        <f>E29+F29</f>
        <v>-4400</v>
      </c>
      <c r="H29" s="1"/>
      <c r="I29" s="1"/>
      <c r="J29" s="30"/>
    </row>
    <row r="30" spans="1:10" ht="15" x14ac:dyDescent="0.2">
      <c r="A30" s="1"/>
      <c r="B30" s="1"/>
      <c r="C30" s="1"/>
      <c r="D30" s="1"/>
      <c r="E30" s="10"/>
      <c r="F30" s="10"/>
      <c r="G30" s="10"/>
      <c r="H30" s="1"/>
      <c r="I30" s="1"/>
      <c r="J30" s="30"/>
    </row>
    <row r="31" spans="1:10" ht="15" x14ac:dyDescent="0.2">
      <c r="A31" s="1"/>
      <c r="B31" s="25" t="s">
        <v>580</v>
      </c>
      <c r="C31" s="1"/>
      <c r="D31" s="1"/>
      <c r="E31" s="10"/>
      <c r="F31" s="10"/>
      <c r="G31" s="10"/>
      <c r="H31" s="1"/>
      <c r="I31" s="1"/>
      <c r="J31" s="30"/>
    </row>
    <row r="32" spans="1:10" ht="15" x14ac:dyDescent="0.2">
      <c r="A32" s="1"/>
      <c r="B32" s="1"/>
      <c r="C32" s="1" t="s">
        <v>99</v>
      </c>
      <c r="D32" s="61">
        <v>4027</v>
      </c>
      <c r="E32" s="62">
        <v>0</v>
      </c>
      <c r="F32" s="62">
        <v>-3000</v>
      </c>
      <c r="G32" s="10"/>
      <c r="H32" s="1"/>
      <c r="I32" s="1"/>
      <c r="J32" s="30"/>
    </row>
    <row r="33" spans="1:10" ht="15" x14ac:dyDescent="0.2">
      <c r="A33" s="1"/>
      <c r="B33" s="1"/>
      <c r="C33" s="1"/>
      <c r="D33" s="1"/>
      <c r="E33" s="10"/>
      <c r="F33" s="10"/>
      <c r="G33" s="10"/>
      <c r="H33" s="1"/>
      <c r="I33" s="1"/>
      <c r="J33" s="30"/>
    </row>
    <row r="34" spans="1:10" ht="15" x14ac:dyDescent="0.2">
      <c r="A34" s="1"/>
      <c r="B34" s="1"/>
      <c r="C34" s="25" t="s">
        <v>80</v>
      </c>
      <c r="D34" s="1"/>
      <c r="E34" s="10">
        <f t="shared" ref="E34:F34" si="3">SUM(E32)</f>
        <v>0</v>
      </c>
      <c r="F34" s="10">
        <f t="shared" si="3"/>
        <v>-3000</v>
      </c>
      <c r="G34" s="10">
        <f>E34+F34</f>
        <v>-3000</v>
      </c>
      <c r="H34" s="1"/>
      <c r="I34" s="1"/>
      <c r="J34" s="30"/>
    </row>
    <row r="35" spans="1:10" ht="15" x14ac:dyDescent="0.2">
      <c r="A35" s="1"/>
      <c r="B35" s="1"/>
      <c r="C35" s="1"/>
      <c r="D35" s="1"/>
      <c r="E35" s="10"/>
      <c r="F35" s="10"/>
      <c r="G35" s="10"/>
      <c r="H35" s="1"/>
      <c r="I35" s="1"/>
      <c r="J35" s="30"/>
    </row>
    <row r="36" spans="1:10" ht="15" x14ac:dyDescent="0.2">
      <c r="A36" s="1"/>
      <c r="B36" s="25" t="s">
        <v>581</v>
      </c>
      <c r="C36" s="1"/>
      <c r="D36" s="1"/>
      <c r="E36" s="10"/>
      <c r="F36" s="10"/>
      <c r="G36" s="10"/>
      <c r="H36" s="1"/>
      <c r="I36" s="1"/>
      <c r="J36" s="30"/>
    </row>
    <row r="37" spans="1:10" ht="15" x14ac:dyDescent="0.2">
      <c r="A37" s="1"/>
      <c r="B37" s="1"/>
      <c r="C37" s="1" t="s">
        <v>308</v>
      </c>
      <c r="D37" s="61">
        <v>4037</v>
      </c>
      <c r="E37" s="62">
        <v>0</v>
      </c>
      <c r="F37" s="62">
        <v>-20000</v>
      </c>
      <c r="G37" s="10"/>
      <c r="H37" s="1"/>
      <c r="I37" s="1"/>
      <c r="J37" s="30"/>
    </row>
    <row r="38" spans="1:10" ht="15" x14ac:dyDescent="0.2">
      <c r="A38" s="1"/>
      <c r="B38" s="1"/>
      <c r="C38" s="1"/>
      <c r="D38" s="1"/>
      <c r="E38" s="10"/>
      <c r="F38" s="10"/>
      <c r="G38" s="10"/>
      <c r="H38" s="1"/>
      <c r="I38" s="1"/>
      <c r="J38" s="30"/>
    </row>
    <row r="39" spans="1:10" ht="15" x14ac:dyDescent="0.2">
      <c r="A39" s="1"/>
      <c r="B39" s="1"/>
      <c r="C39" s="25" t="s">
        <v>80</v>
      </c>
      <c r="D39" s="1"/>
      <c r="E39" s="10">
        <f t="shared" ref="E39:F39" si="4">SUM(E37)</f>
        <v>0</v>
      </c>
      <c r="F39" s="10">
        <f t="shared" si="4"/>
        <v>-20000</v>
      </c>
      <c r="G39" s="10">
        <f>E39+F39</f>
        <v>-20000</v>
      </c>
      <c r="H39" s="1"/>
      <c r="I39" s="1"/>
      <c r="J39" s="30"/>
    </row>
    <row r="40" spans="1:10" ht="15" x14ac:dyDescent="0.2">
      <c r="A40" s="1"/>
      <c r="B40" s="1"/>
      <c r="C40" s="1"/>
      <c r="D40" s="1"/>
      <c r="E40" s="10"/>
      <c r="F40" s="10"/>
      <c r="G40" s="10"/>
      <c r="H40" s="1"/>
      <c r="I40" s="1"/>
      <c r="J40" s="30"/>
    </row>
    <row r="41" spans="1:10" ht="15" x14ac:dyDescent="0.2">
      <c r="A41" s="1"/>
      <c r="B41" s="25" t="s">
        <v>582</v>
      </c>
      <c r="C41" s="1"/>
      <c r="D41" s="1"/>
      <c r="E41" s="10"/>
      <c r="F41" s="10"/>
      <c r="G41" s="10"/>
      <c r="H41" s="1"/>
      <c r="I41" s="1"/>
      <c r="J41" s="30"/>
    </row>
    <row r="42" spans="1:10" ht="15" x14ac:dyDescent="0.2">
      <c r="A42" s="1"/>
      <c r="B42" s="1"/>
      <c r="C42" s="1" t="s">
        <v>583</v>
      </c>
      <c r="D42" s="1" t="s">
        <v>89</v>
      </c>
      <c r="E42" s="82">
        <v>0</v>
      </c>
      <c r="F42" s="62">
        <v>-5000</v>
      </c>
      <c r="H42" s="1"/>
      <c r="I42" s="1"/>
      <c r="J42" s="30"/>
    </row>
    <row r="43" spans="1:10" ht="15" x14ac:dyDescent="0.2">
      <c r="A43" s="1"/>
      <c r="B43" s="1"/>
      <c r="C43" s="1" t="s">
        <v>88</v>
      </c>
      <c r="D43" s="1" t="s">
        <v>89</v>
      </c>
      <c r="E43" s="62">
        <v>11160</v>
      </c>
      <c r="F43" s="62">
        <v>0</v>
      </c>
      <c r="H43" s="34" t="s">
        <v>584</v>
      </c>
      <c r="I43" s="1"/>
      <c r="J43" s="30"/>
    </row>
    <row r="44" spans="1:10" ht="15" x14ac:dyDescent="0.2">
      <c r="A44" s="1"/>
      <c r="B44" s="1"/>
      <c r="C44" s="1" t="s">
        <v>91</v>
      </c>
      <c r="D44" s="61" t="s">
        <v>179</v>
      </c>
      <c r="E44" s="62">
        <v>0</v>
      </c>
      <c r="F44" s="62">
        <v>-2544</v>
      </c>
      <c r="G44" s="10"/>
      <c r="H44" s="1" t="s">
        <v>585</v>
      </c>
      <c r="I44" s="1"/>
      <c r="J44" s="30"/>
    </row>
    <row r="45" spans="1:10" ht="15" x14ac:dyDescent="0.2">
      <c r="A45" s="1"/>
      <c r="B45" s="1"/>
      <c r="C45" s="1" t="s">
        <v>94</v>
      </c>
      <c r="D45" s="1">
        <v>4029</v>
      </c>
      <c r="E45" s="62">
        <v>0</v>
      </c>
      <c r="F45" s="62">
        <v>-4800</v>
      </c>
      <c r="G45" s="10"/>
      <c r="H45" s="1" t="s">
        <v>586</v>
      </c>
      <c r="I45" s="1"/>
      <c r="J45" s="30"/>
    </row>
    <row r="46" spans="1:10" ht="15" x14ac:dyDescent="0.2">
      <c r="A46" s="1"/>
      <c r="B46" s="1"/>
      <c r="C46" s="1" t="s">
        <v>101</v>
      </c>
      <c r="D46" s="61">
        <v>5010</v>
      </c>
      <c r="E46" s="62">
        <v>0</v>
      </c>
      <c r="F46" s="62">
        <v>0</v>
      </c>
      <c r="G46" s="10"/>
      <c r="H46" s="1"/>
      <c r="I46" s="1"/>
      <c r="J46" s="30"/>
    </row>
    <row r="47" spans="1:10" ht="15" x14ac:dyDescent="0.2">
      <c r="A47" s="1"/>
      <c r="B47" s="1"/>
      <c r="C47" s="1" t="s">
        <v>96</v>
      </c>
      <c r="D47" s="61">
        <v>5411</v>
      </c>
      <c r="E47" s="62">
        <v>0</v>
      </c>
      <c r="F47" s="62">
        <v>-1100</v>
      </c>
      <c r="G47" s="10"/>
      <c r="H47" s="1"/>
      <c r="I47" s="1"/>
      <c r="J47" s="30"/>
    </row>
    <row r="48" spans="1:10" ht="15" x14ac:dyDescent="0.2">
      <c r="A48" s="1"/>
      <c r="B48" s="1"/>
      <c r="C48" s="1" t="s">
        <v>97</v>
      </c>
      <c r="D48" s="61">
        <v>7691</v>
      </c>
      <c r="E48" s="62">
        <v>0</v>
      </c>
      <c r="F48" s="62">
        <v>-200</v>
      </c>
      <c r="G48" s="10"/>
      <c r="H48" s="1"/>
      <c r="I48" s="1"/>
      <c r="J48" s="30"/>
    </row>
    <row r="49" spans="1:9" ht="14" x14ac:dyDescent="0.2">
      <c r="A49" s="1"/>
      <c r="B49" s="1"/>
      <c r="C49" s="1" t="s">
        <v>99</v>
      </c>
      <c r="D49" s="1">
        <v>4027</v>
      </c>
      <c r="E49" s="10">
        <v>0</v>
      </c>
      <c r="F49" s="10">
        <v>-1500</v>
      </c>
      <c r="G49" s="10"/>
      <c r="H49" s="1"/>
      <c r="I49" s="1"/>
    </row>
    <row r="50" spans="1:9" ht="14" x14ac:dyDescent="0.2">
      <c r="A50" s="1"/>
      <c r="B50" s="1"/>
      <c r="E50" s="83"/>
      <c r="F50" s="83"/>
      <c r="G50" s="10"/>
      <c r="H50" s="1"/>
      <c r="I50" s="1"/>
    </row>
    <row r="51" spans="1:9" ht="14" x14ac:dyDescent="0.2">
      <c r="A51" s="1"/>
      <c r="B51" s="1"/>
      <c r="C51" s="25" t="s">
        <v>80</v>
      </c>
      <c r="D51" s="1"/>
      <c r="E51" s="10">
        <f t="shared" ref="E51:F51" si="5">SUM(E42:E49)</f>
        <v>11160</v>
      </c>
      <c r="F51" s="10">
        <f t="shared" si="5"/>
        <v>-15144</v>
      </c>
      <c r="G51" s="10">
        <f>E51+F51</f>
        <v>-3984</v>
      </c>
      <c r="H51" s="1"/>
      <c r="I51" s="1"/>
    </row>
    <row r="52" spans="1:9" ht="14" x14ac:dyDescent="0.2">
      <c r="A52" s="1"/>
      <c r="B52" s="1"/>
      <c r="C52" s="1"/>
      <c r="D52" s="1"/>
      <c r="E52" s="10"/>
      <c r="F52" s="10"/>
      <c r="G52" s="10"/>
      <c r="H52" s="1"/>
      <c r="I52" s="1"/>
    </row>
    <row r="53" spans="1:9" ht="14" x14ac:dyDescent="0.2">
      <c r="A53" s="1"/>
      <c r="B53" s="25" t="s">
        <v>587</v>
      </c>
      <c r="C53" s="1"/>
      <c r="D53" s="1"/>
      <c r="E53" s="10"/>
      <c r="F53" s="10"/>
      <c r="G53" s="10"/>
      <c r="H53" s="1"/>
      <c r="I53" s="1" t="s">
        <v>588</v>
      </c>
    </row>
    <row r="54" spans="1:9" ht="14" x14ac:dyDescent="0.2">
      <c r="A54" s="1"/>
      <c r="B54" s="1"/>
      <c r="C54" s="1" t="s">
        <v>238</v>
      </c>
      <c r="D54" s="1" t="s">
        <v>89</v>
      </c>
      <c r="E54" s="62">
        <v>5500</v>
      </c>
      <c r="F54" s="62">
        <v>0</v>
      </c>
      <c r="G54" s="10"/>
      <c r="H54" s="1"/>
      <c r="I54" s="1"/>
    </row>
    <row r="55" spans="1:9" ht="14" x14ac:dyDescent="0.2">
      <c r="A55" s="1"/>
      <c r="B55" s="1"/>
      <c r="C55" s="1" t="s">
        <v>589</v>
      </c>
      <c r="D55" s="61">
        <v>4029</v>
      </c>
      <c r="E55" s="62">
        <v>0</v>
      </c>
      <c r="F55" s="62">
        <v>-3550</v>
      </c>
      <c r="G55" s="10"/>
      <c r="H55" s="1"/>
      <c r="I55" s="1" t="s">
        <v>590</v>
      </c>
    </row>
    <row r="56" spans="1:9" ht="14" x14ac:dyDescent="0.2">
      <c r="A56" s="1"/>
      <c r="B56" s="1"/>
      <c r="C56" s="1" t="s">
        <v>286</v>
      </c>
      <c r="D56" s="1" t="s">
        <v>179</v>
      </c>
      <c r="E56" s="62">
        <v>0</v>
      </c>
      <c r="F56" s="62">
        <v>-3150</v>
      </c>
      <c r="G56" s="10"/>
      <c r="H56" s="1"/>
      <c r="I56" s="1"/>
    </row>
    <row r="57" spans="1:9" ht="14" x14ac:dyDescent="0.2">
      <c r="A57" s="1"/>
      <c r="B57" s="1"/>
      <c r="C57" s="1" t="s">
        <v>96</v>
      </c>
      <c r="D57" s="61">
        <v>5411</v>
      </c>
      <c r="E57" s="62">
        <v>0</v>
      </c>
      <c r="F57" s="62">
        <v>-900</v>
      </c>
      <c r="G57" s="10"/>
      <c r="H57" s="1"/>
      <c r="I57" s="1" t="s">
        <v>591</v>
      </c>
    </row>
    <row r="58" spans="1:9" ht="14" x14ac:dyDescent="0.2">
      <c r="A58" s="1"/>
      <c r="B58" s="1"/>
      <c r="C58" s="1" t="s">
        <v>97</v>
      </c>
      <c r="D58" s="61">
        <v>7691</v>
      </c>
      <c r="E58" s="62">
        <v>0</v>
      </c>
      <c r="F58" s="62">
        <v>-200</v>
      </c>
      <c r="G58" s="10"/>
      <c r="H58" s="1" t="s">
        <v>592</v>
      </c>
      <c r="I58" s="1"/>
    </row>
    <row r="59" spans="1:9" ht="14" x14ac:dyDescent="0.2">
      <c r="A59" s="1"/>
      <c r="B59" s="1"/>
      <c r="C59" s="1"/>
      <c r="D59" s="1"/>
      <c r="E59" s="10"/>
      <c r="F59" s="10"/>
      <c r="G59" s="10"/>
      <c r="H59" s="1"/>
      <c r="I59" s="1"/>
    </row>
    <row r="60" spans="1:9" ht="14" x14ac:dyDescent="0.2">
      <c r="A60" s="1"/>
      <c r="B60" s="1"/>
      <c r="C60" s="25" t="s">
        <v>80</v>
      </c>
      <c r="D60" s="1"/>
      <c r="E60" s="10">
        <f t="shared" ref="E60:F60" si="6">SUM(E54:E58)</f>
        <v>5500</v>
      </c>
      <c r="F60" s="10">
        <f t="shared" si="6"/>
        <v>-7800</v>
      </c>
      <c r="G60" s="10">
        <f>E60+F60</f>
        <v>-2300</v>
      </c>
      <c r="H60" s="1"/>
      <c r="I60" s="1"/>
    </row>
    <row r="61" spans="1:9" ht="14" x14ac:dyDescent="0.2">
      <c r="A61" s="1"/>
      <c r="B61" s="1"/>
      <c r="C61" s="1"/>
      <c r="D61" s="1"/>
      <c r="E61" s="34"/>
      <c r="F61" s="34"/>
      <c r="G61" s="34"/>
      <c r="H61" s="1"/>
      <c r="I61" s="1"/>
    </row>
    <row r="62" spans="1:9" ht="14" x14ac:dyDescent="0.2">
      <c r="C62" s="25" t="s">
        <v>102</v>
      </c>
      <c r="D62" s="1"/>
      <c r="E62" s="8">
        <f t="shared" ref="E62:F62" si="7">SUMIFS(E2:E61,$C2:$C61,"Subsubtotal")</f>
        <v>54160</v>
      </c>
      <c r="F62" s="31">
        <f t="shared" si="7"/>
        <v>-188444</v>
      </c>
      <c r="G62" s="10">
        <f>SUM(G2:G61)</f>
        <v>-134284</v>
      </c>
    </row>
    <row r="63" spans="1:9" ht="15.75" customHeight="1" x14ac:dyDescent="0.15">
      <c r="E63" s="33"/>
      <c r="F63" s="33"/>
      <c r="G63" s="33"/>
    </row>
    <row r="64" spans="1:9" ht="15.75" customHeight="1" x14ac:dyDescent="0.15">
      <c r="E64" s="33"/>
      <c r="F64" s="33"/>
      <c r="G64" s="33"/>
    </row>
    <row r="65" spans="5:7" ht="14" x14ac:dyDescent="0.2">
      <c r="E65" s="10"/>
      <c r="F65" s="10"/>
      <c r="G65" s="10"/>
    </row>
    <row r="66" spans="5:7" ht="14" x14ac:dyDescent="0.2">
      <c r="E66" s="10"/>
      <c r="F66" s="10"/>
      <c r="G66" s="10"/>
    </row>
    <row r="67" spans="5:7" ht="14" x14ac:dyDescent="0.2">
      <c r="E67" s="10"/>
      <c r="F67" s="10"/>
      <c r="G67" s="10"/>
    </row>
    <row r="68" spans="5:7" ht="14" x14ac:dyDescent="0.2">
      <c r="E68" s="10"/>
      <c r="F68" s="10"/>
      <c r="G68" s="10"/>
    </row>
    <row r="69" spans="5:7" ht="14" x14ac:dyDescent="0.2">
      <c r="E69" s="10"/>
      <c r="F69" s="10"/>
      <c r="G69" s="10"/>
    </row>
    <row r="70" spans="5:7" ht="14" x14ac:dyDescent="0.2">
      <c r="E70" s="10"/>
      <c r="F70" s="10"/>
      <c r="G70" s="10"/>
    </row>
    <row r="71" spans="5:7" ht="14" x14ac:dyDescent="0.2">
      <c r="E71" s="10"/>
      <c r="F71" s="10"/>
      <c r="G71" s="10"/>
    </row>
    <row r="72" spans="5:7" ht="14" x14ac:dyDescent="0.2">
      <c r="E72" s="10"/>
      <c r="F72" s="10"/>
      <c r="G72" s="10"/>
    </row>
    <row r="73" spans="5:7" ht="14" x14ac:dyDescent="0.2">
      <c r="E73" s="10"/>
      <c r="F73" s="10"/>
      <c r="G73" s="10"/>
    </row>
    <row r="74" spans="5:7" ht="14" x14ac:dyDescent="0.2">
      <c r="E74" s="10"/>
      <c r="F74" s="10"/>
      <c r="G74" s="10"/>
    </row>
    <row r="75" spans="5:7" ht="14" x14ac:dyDescent="0.2">
      <c r="E75" s="10"/>
      <c r="F75" s="10"/>
      <c r="G75" s="10"/>
    </row>
    <row r="76" spans="5:7" ht="14" x14ac:dyDescent="0.2">
      <c r="E76" s="10"/>
      <c r="F76" s="10"/>
      <c r="G76" s="10"/>
    </row>
    <row r="77" spans="5:7" ht="14" x14ac:dyDescent="0.2">
      <c r="E77" s="10"/>
      <c r="F77" s="10"/>
      <c r="G77" s="10"/>
    </row>
    <row r="78" spans="5:7" ht="14" x14ac:dyDescent="0.2">
      <c r="E78" s="10"/>
      <c r="F78" s="10"/>
      <c r="G78" s="10"/>
    </row>
    <row r="79" spans="5:7" ht="14" x14ac:dyDescent="0.2">
      <c r="E79" s="10"/>
      <c r="F79" s="10"/>
      <c r="G79" s="10"/>
    </row>
    <row r="80" spans="5:7" ht="14" x14ac:dyDescent="0.2">
      <c r="E80" s="10"/>
      <c r="F80" s="10"/>
      <c r="G80" s="10"/>
    </row>
    <row r="81" spans="5:7" ht="14" x14ac:dyDescent="0.2">
      <c r="E81" s="10"/>
      <c r="F81" s="10"/>
      <c r="G81" s="10"/>
    </row>
    <row r="82" spans="5:7" ht="14" x14ac:dyDescent="0.2">
      <c r="E82" s="10"/>
      <c r="F82" s="10"/>
      <c r="G82" s="10"/>
    </row>
    <row r="83" spans="5:7" ht="14" x14ac:dyDescent="0.2">
      <c r="E83" s="10"/>
      <c r="F83" s="10"/>
      <c r="G83" s="10"/>
    </row>
    <row r="84" spans="5:7" ht="14" x14ac:dyDescent="0.2">
      <c r="E84" s="10"/>
      <c r="F84" s="10"/>
      <c r="G84" s="10"/>
    </row>
    <row r="85" spans="5:7" ht="14" x14ac:dyDescent="0.2">
      <c r="E85" s="10"/>
      <c r="F85" s="10"/>
      <c r="G85" s="10"/>
    </row>
    <row r="86" spans="5:7" ht="14" x14ac:dyDescent="0.2">
      <c r="E86" s="10"/>
      <c r="F86" s="10"/>
      <c r="G86" s="10"/>
    </row>
    <row r="87" spans="5:7" ht="14" x14ac:dyDescent="0.2">
      <c r="E87" s="10"/>
      <c r="F87" s="10"/>
      <c r="G87" s="10"/>
    </row>
    <row r="88" spans="5:7" ht="14" x14ac:dyDescent="0.2">
      <c r="E88" s="10"/>
      <c r="F88" s="10"/>
      <c r="G88" s="10"/>
    </row>
    <row r="89" spans="5:7" ht="14" x14ac:dyDescent="0.2">
      <c r="E89" s="10"/>
      <c r="F89" s="10"/>
      <c r="G89" s="10"/>
    </row>
    <row r="90" spans="5:7" ht="14" x14ac:dyDescent="0.2">
      <c r="E90" s="10"/>
      <c r="F90" s="10"/>
      <c r="G90" s="10"/>
    </row>
    <row r="91" spans="5:7" ht="14" x14ac:dyDescent="0.2">
      <c r="E91" s="10"/>
      <c r="F91" s="10"/>
      <c r="G91" s="10"/>
    </row>
    <row r="92" spans="5:7" ht="14" x14ac:dyDescent="0.2">
      <c r="E92" s="10"/>
      <c r="F92" s="10"/>
      <c r="G92" s="10"/>
    </row>
    <row r="93" spans="5:7" ht="14" x14ac:dyDescent="0.2">
      <c r="E93" s="10"/>
      <c r="F93" s="10"/>
      <c r="G93" s="10"/>
    </row>
    <row r="94" spans="5:7" ht="14" x14ac:dyDescent="0.2">
      <c r="E94" s="10"/>
      <c r="F94" s="10"/>
      <c r="G94" s="10"/>
    </row>
    <row r="95" spans="5:7" ht="14" x14ac:dyDescent="0.2">
      <c r="E95" s="10"/>
      <c r="F95" s="10"/>
      <c r="G95" s="10"/>
    </row>
    <row r="96" spans="5:7" ht="14" x14ac:dyDescent="0.2">
      <c r="E96" s="10"/>
      <c r="F96" s="10"/>
      <c r="G96" s="10"/>
    </row>
    <row r="97" spans="5:7" ht="14" x14ac:dyDescent="0.2">
      <c r="E97" s="10"/>
      <c r="F97" s="10"/>
      <c r="G97" s="10"/>
    </row>
    <row r="98" spans="5:7" ht="14" x14ac:dyDescent="0.2">
      <c r="E98" s="10"/>
      <c r="F98" s="10"/>
      <c r="G98" s="10"/>
    </row>
    <row r="99" spans="5:7" ht="14" x14ac:dyDescent="0.2">
      <c r="E99" s="10"/>
      <c r="F99" s="10"/>
      <c r="G99" s="10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  <row r="721" spans="5:7" ht="13" x14ac:dyDescent="0.15">
      <c r="E721" s="33"/>
      <c r="F721" s="33"/>
      <c r="G721" s="33"/>
    </row>
    <row r="722" spans="5:7" ht="13" x14ac:dyDescent="0.15">
      <c r="E722" s="33"/>
      <c r="F722" s="33"/>
      <c r="G722" s="33"/>
    </row>
    <row r="723" spans="5:7" ht="13" x14ac:dyDescent="0.15">
      <c r="E723" s="33"/>
      <c r="F723" s="33"/>
      <c r="G723" s="33"/>
    </row>
    <row r="724" spans="5:7" ht="13" x14ac:dyDescent="0.15">
      <c r="E724" s="33"/>
      <c r="F724" s="33"/>
      <c r="G724" s="33"/>
    </row>
    <row r="725" spans="5:7" ht="13" x14ac:dyDescent="0.15">
      <c r="E725" s="33"/>
      <c r="F725" s="33"/>
      <c r="G725" s="33"/>
    </row>
    <row r="726" spans="5:7" ht="13" x14ac:dyDescent="0.15">
      <c r="E726" s="33"/>
      <c r="F726" s="33"/>
      <c r="G726" s="33"/>
    </row>
    <row r="727" spans="5:7" ht="13" x14ac:dyDescent="0.15">
      <c r="E727" s="33"/>
      <c r="F727" s="33"/>
      <c r="G727" s="33"/>
    </row>
    <row r="728" spans="5:7" ht="13" x14ac:dyDescent="0.15">
      <c r="E728" s="33"/>
      <c r="F728" s="33"/>
      <c r="G728" s="33"/>
    </row>
    <row r="729" spans="5:7" ht="13" x14ac:dyDescent="0.15">
      <c r="E729" s="33"/>
      <c r="F729" s="33"/>
      <c r="G729" s="33"/>
    </row>
    <row r="730" spans="5:7" ht="13" x14ac:dyDescent="0.15">
      <c r="E730" s="33"/>
      <c r="F730" s="33"/>
      <c r="G730" s="33"/>
    </row>
    <row r="731" spans="5:7" ht="13" x14ac:dyDescent="0.15">
      <c r="E731" s="33"/>
      <c r="F731" s="33"/>
      <c r="G731" s="33"/>
    </row>
    <row r="732" spans="5:7" ht="13" x14ac:dyDescent="0.15">
      <c r="E732" s="33"/>
      <c r="F732" s="33"/>
      <c r="G732" s="33"/>
    </row>
    <row r="733" spans="5:7" ht="13" x14ac:dyDescent="0.15">
      <c r="E733" s="33"/>
      <c r="F733" s="33"/>
      <c r="G733" s="33"/>
    </row>
    <row r="734" spans="5:7" ht="13" x14ac:dyDescent="0.15">
      <c r="E734" s="33"/>
      <c r="F734" s="33"/>
      <c r="G734" s="33"/>
    </row>
    <row r="735" spans="5:7" ht="13" x14ac:dyDescent="0.15">
      <c r="E735" s="33"/>
      <c r="F735" s="33"/>
      <c r="G735" s="33"/>
    </row>
    <row r="736" spans="5:7" ht="13" x14ac:dyDescent="0.15">
      <c r="E736" s="33"/>
      <c r="F736" s="33"/>
      <c r="G736" s="33"/>
    </row>
    <row r="737" spans="5:7" ht="13" x14ac:dyDescent="0.15">
      <c r="E737" s="33"/>
      <c r="F737" s="33"/>
      <c r="G737" s="33"/>
    </row>
    <row r="738" spans="5:7" ht="13" x14ac:dyDescent="0.15">
      <c r="E738" s="33"/>
      <c r="F738" s="33"/>
      <c r="G738" s="33"/>
    </row>
    <row r="739" spans="5:7" ht="13" x14ac:dyDescent="0.15">
      <c r="E739" s="33"/>
      <c r="F739" s="33"/>
      <c r="G739" s="33"/>
    </row>
    <row r="740" spans="5:7" ht="13" x14ac:dyDescent="0.15">
      <c r="E740" s="33"/>
      <c r="F740" s="33"/>
      <c r="G740" s="33"/>
    </row>
    <row r="741" spans="5:7" ht="13" x14ac:dyDescent="0.15">
      <c r="E741" s="33"/>
      <c r="F741" s="33"/>
      <c r="G741" s="33"/>
    </row>
    <row r="742" spans="5:7" ht="13" x14ac:dyDescent="0.15">
      <c r="E742" s="33"/>
      <c r="F742" s="33"/>
      <c r="G742" s="33"/>
    </row>
    <row r="743" spans="5:7" ht="13" x14ac:dyDescent="0.15">
      <c r="E743" s="33"/>
      <c r="F743" s="33"/>
      <c r="G743" s="33"/>
    </row>
    <row r="744" spans="5:7" ht="13" x14ac:dyDescent="0.15">
      <c r="E744" s="33"/>
      <c r="F744" s="33"/>
      <c r="G744" s="33"/>
    </row>
    <row r="745" spans="5:7" ht="13" x14ac:dyDescent="0.15">
      <c r="E745" s="33"/>
      <c r="F745" s="33"/>
      <c r="G745" s="33"/>
    </row>
    <row r="746" spans="5:7" ht="13" x14ac:dyDescent="0.15">
      <c r="E746" s="33"/>
      <c r="F746" s="33"/>
      <c r="G746" s="33"/>
    </row>
    <row r="747" spans="5:7" ht="13" x14ac:dyDescent="0.15">
      <c r="E747" s="33"/>
      <c r="F747" s="33"/>
      <c r="G747" s="33"/>
    </row>
    <row r="748" spans="5:7" ht="13" x14ac:dyDescent="0.15">
      <c r="E748" s="33"/>
      <c r="F748" s="33"/>
      <c r="G748" s="33"/>
    </row>
    <row r="749" spans="5:7" ht="13" x14ac:dyDescent="0.15">
      <c r="E749" s="33"/>
      <c r="F749" s="33"/>
      <c r="G749" s="33"/>
    </row>
    <row r="750" spans="5:7" ht="13" x14ac:dyDescent="0.15">
      <c r="E750" s="33"/>
      <c r="F750" s="33"/>
      <c r="G750" s="33"/>
    </row>
    <row r="751" spans="5:7" ht="13" x14ac:dyDescent="0.15">
      <c r="E751" s="33"/>
      <c r="F751" s="33"/>
      <c r="G751" s="33"/>
    </row>
    <row r="752" spans="5:7" ht="13" x14ac:dyDescent="0.15">
      <c r="E752" s="33"/>
      <c r="F752" s="33"/>
      <c r="G752" s="33"/>
    </row>
    <row r="753" spans="5:7" ht="13" x14ac:dyDescent="0.15">
      <c r="E753" s="33"/>
      <c r="F753" s="33"/>
      <c r="G753" s="33"/>
    </row>
    <row r="754" spans="5:7" ht="13" x14ac:dyDescent="0.15">
      <c r="E754" s="33"/>
      <c r="F754" s="33"/>
      <c r="G754" s="33"/>
    </row>
    <row r="755" spans="5:7" ht="13" x14ac:dyDescent="0.15">
      <c r="E755" s="33"/>
      <c r="F755" s="33"/>
      <c r="G755" s="33"/>
    </row>
    <row r="756" spans="5:7" ht="13" x14ac:dyDescent="0.15">
      <c r="E756" s="33"/>
      <c r="F756" s="33"/>
      <c r="G756" s="33"/>
    </row>
    <row r="757" spans="5:7" ht="13" x14ac:dyDescent="0.15">
      <c r="E757" s="33"/>
      <c r="F757" s="33"/>
      <c r="G757" s="33"/>
    </row>
    <row r="758" spans="5:7" ht="13" x14ac:dyDescent="0.15">
      <c r="E758" s="33"/>
      <c r="F758" s="33"/>
      <c r="G758" s="33"/>
    </row>
    <row r="759" spans="5:7" ht="13" x14ac:dyDescent="0.15">
      <c r="E759" s="33"/>
      <c r="F759" s="33"/>
      <c r="G759" s="33"/>
    </row>
    <row r="760" spans="5:7" ht="13" x14ac:dyDescent="0.15">
      <c r="E760" s="33"/>
      <c r="F760" s="33"/>
      <c r="G760" s="33"/>
    </row>
    <row r="761" spans="5:7" ht="13" x14ac:dyDescent="0.15">
      <c r="E761" s="33"/>
      <c r="F761" s="33"/>
      <c r="G761" s="33"/>
    </row>
    <row r="762" spans="5:7" ht="13" x14ac:dyDescent="0.15">
      <c r="E762" s="33"/>
      <c r="F762" s="33"/>
      <c r="G762" s="33"/>
    </row>
    <row r="763" spans="5:7" ht="13" x14ac:dyDescent="0.15">
      <c r="E763" s="33"/>
      <c r="F763" s="33"/>
      <c r="G763" s="33"/>
    </row>
  </sheetData>
  <conditionalFormatting sqref="G2:G42 E2:F763 H43 G44:G763">
    <cfRule type="cellIs" dxfId="54" priority="1" operator="greaterThan">
      <formula>0</formula>
    </cfRule>
    <cfRule type="cellIs" dxfId="53" priority="2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20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48</v>
      </c>
      <c r="B2" s="1"/>
      <c r="C2" s="1"/>
      <c r="D2" s="54"/>
      <c r="E2" s="54"/>
      <c r="F2" s="78"/>
      <c r="G2" s="84"/>
      <c r="H2" s="84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76</v>
      </c>
      <c r="B3" s="25" t="s">
        <v>77</v>
      </c>
      <c r="C3" s="1"/>
      <c r="D3" s="54"/>
      <c r="E3" s="54"/>
      <c r="F3" s="78"/>
      <c r="G3" s="84"/>
      <c r="H3" s="84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216</v>
      </c>
      <c r="D4" s="54"/>
      <c r="E4" s="71">
        <v>0</v>
      </c>
      <c r="F4" s="37">
        <v>-7000</v>
      </c>
      <c r="G4" s="12"/>
      <c r="H4" s="84"/>
      <c r="I4" s="1"/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 t="s">
        <v>122</v>
      </c>
      <c r="D5" s="54"/>
      <c r="E5" s="71">
        <v>0</v>
      </c>
      <c r="F5" s="37">
        <v>-5300</v>
      </c>
      <c r="G5" s="12"/>
      <c r="H5" s="84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1"/>
      <c r="D6" s="54"/>
      <c r="E6" s="54"/>
      <c r="F6" s="78"/>
      <c r="G6" s="12"/>
      <c r="H6" s="84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25" t="s">
        <v>80</v>
      </c>
      <c r="D7" s="54"/>
      <c r="E7" s="8">
        <f t="shared" ref="E7:F7" si="0">SUM(E4:E6)</f>
        <v>0</v>
      </c>
      <c r="F7" s="37">
        <f t="shared" si="0"/>
        <v>-12300</v>
      </c>
      <c r="G7" s="12">
        <f>SUM(E7:F7)</f>
        <v>-12300</v>
      </c>
      <c r="H7" s="84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1"/>
      <c r="D8" s="54"/>
      <c r="E8" s="54"/>
      <c r="F8" s="78"/>
      <c r="G8" s="12"/>
      <c r="H8" s="84"/>
      <c r="I8" s="1"/>
      <c r="J8" s="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25" t="s">
        <v>81</v>
      </c>
      <c r="C9" s="1"/>
      <c r="D9" s="77"/>
      <c r="E9" s="54"/>
      <c r="F9" s="54"/>
      <c r="G9" s="11"/>
      <c r="H9" s="85"/>
      <c r="I9" s="1"/>
      <c r="J9" s="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1"/>
      <c r="C10" s="1" t="s">
        <v>484</v>
      </c>
      <c r="D10" s="77"/>
      <c r="E10" s="86">
        <v>2000</v>
      </c>
      <c r="F10" s="8">
        <v>0</v>
      </c>
      <c r="G10" s="10"/>
      <c r="H10" s="85"/>
      <c r="I10" s="1"/>
      <c r="J10" s="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1"/>
      <c r="C11" s="1" t="s">
        <v>83</v>
      </c>
      <c r="D11" s="77"/>
      <c r="E11" s="8">
        <v>0</v>
      </c>
      <c r="F11" s="37">
        <v>-6300</v>
      </c>
      <c r="G11" s="10"/>
      <c r="H11" s="85"/>
      <c r="I11" s="1"/>
      <c r="J11" s="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 t="s">
        <v>84</v>
      </c>
      <c r="D12" s="54"/>
      <c r="E12" s="86">
        <v>6400</v>
      </c>
      <c r="F12" s="8">
        <v>0</v>
      </c>
      <c r="G12" s="12"/>
      <c r="H12" s="84"/>
      <c r="I12" s="1"/>
      <c r="J12" s="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 t="s">
        <v>85</v>
      </c>
      <c r="D13" s="54"/>
      <c r="E13" s="71">
        <v>0</v>
      </c>
      <c r="F13" s="37">
        <v>-12800</v>
      </c>
      <c r="G13" s="12"/>
      <c r="H13" s="84"/>
      <c r="I13" s="1"/>
      <c r="J13" s="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1"/>
      <c r="C14" s="1" t="s">
        <v>593</v>
      </c>
      <c r="D14" s="77"/>
      <c r="E14" s="71">
        <v>0</v>
      </c>
      <c r="F14" s="37">
        <v>-6300</v>
      </c>
      <c r="G14" s="10"/>
      <c r="H14" s="85"/>
      <c r="I14" s="1"/>
      <c r="J14" s="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 t="s">
        <v>82</v>
      </c>
      <c r="D15" s="77"/>
      <c r="E15" s="8">
        <v>0</v>
      </c>
      <c r="F15" s="37">
        <v>-10500</v>
      </c>
      <c r="G15" s="10"/>
      <c r="H15" s="85"/>
      <c r="I15" s="1"/>
      <c r="J15" s="1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1"/>
      <c r="C16" s="1"/>
      <c r="D16" s="77"/>
      <c r="E16" s="54"/>
      <c r="F16" s="54"/>
      <c r="G16" s="11"/>
      <c r="H16" s="85"/>
      <c r="I16" s="1"/>
      <c r="J16" s="1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25" t="s">
        <v>80</v>
      </c>
      <c r="D17" s="77"/>
      <c r="E17" s="86">
        <f t="shared" ref="E17:F17" si="1">SUM(E9:E16)</f>
        <v>8400</v>
      </c>
      <c r="F17" s="72">
        <f t="shared" si="1"/>
        <v>-35900</v>
      </c>
      <c r="G17" s="12">
        <f>SUM(E17:F17)</f>
        <v>-27500</v>
      </c>
      <c r="H17" s="85"/>
      <c r="I17" s="1"/>
      <c r="J17" s="1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/>
      <c r="D18" s="54"/>
      <c r="E18" s="54"/>
      <c r="F18" s="78"/>
      <c r="G18" s="12"/>
      <c r="H18" s="84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25" t="s">
        <v>102</v>
      </c>
      <c r="D19" s="54"/>
      <c r="E19" s="87">
        <f t="shared" ref="E19:F19" si="2">SUMIFS(E4:E18,$C4:$C18,"Subsubtotal")</f>
        <v>8400</v>
      </c>
      <c r="F19" s="37">
        <f t="shared" si="2"/>
        <v>-48200</v>
      </c>
      <c r="G19" s="12">
        <f>SUM(E19:F19)</f>
        <v>-39800</v>
      </c>
      <c r="H19" s="84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 x14ac:dyDescent="0.15">
      <c r="A20" s="28"/>
      <c r="B20" s="28"/>
      <c r="C20" s="28"/>
      <c r="D20" s="84"/>
      <c r="E20" s="85"/>
      <c r="F20" s="85"/>
      <c r="G20" s="84"/>
      <c r="H20" s="84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</sheetData>
  <conditionalFormatting sqref="E2:G20">
    <cfRule type="cellIs" dxfId="52" priority="1" operator="greaterThan">
      <formula>0</formula>
    </cfRule>
    <cfRule type="cellIs" dxfId="51" priority="2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J21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3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50</v>
      </c>
      <c r="B2" s="28"/>
      <c r="C2" s="28"/>
      <c r="D2" s="28"/>
      <c r="E2" s="29"/>
      <c r="F2" s="29"/>
      <c r="G2" s="29"/>
    </row>
    <row r="3" spans="1:10" ht="15" x14ac:dyDescent="0.2">
      <c r="A3" s="1" t="s">
        <v>76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594</v>
      </c>
      <c r="D4" s="77" t="s">
        <v>595</v>
      </c>
      <c r="E4" s="62">
        <v>0</v>
      </c>
      <c r="F4" s="62">
        <v>-2000</v>
      </c>
      <c r="G4" s="10"/>
      <c r="H4" s="30"/>
      <c r="I4" s="30"/>
      <c r="J4" s="30"/>
    </row>
    <row r="5" spans="1:10" ht="15" x14ac:dyDescent="0.2">
      <c r="A5" s="1"/>
      <c r="B5" s="1"/>
      <c r="C5" s="1" t="s">
        <v>596</v>
      </c>
      <c r="D5" s="77" t="s">
        <v>597</v>
      </c>
      <c r="E5" s="62">
        <v>0</v>
      </c>
      <c r="F5" s="62">
        <v>-7000</v>
      </c>
      <c r="G5" s="10"/>
      <c r="H5" s="30"/>
      <c r="I5" s="30"/>
      <c r="J5" s="30"/>
    </row>
    <row r="6" spans="1:10" ht="15" x14ac:dyDescent="0.2">
      <c r="A6" s="1"/>
      <c r="B6" s="1"/>
      <c r="C6" s="1" t="s">
        <v>598</v>
      </c>
      <c r="D6" s="77" t="s">
        <v>599</v>
      </c>
      <c r="E6" s="62">
        <v>0</v>
      </c>
      <c r="F6" s="62">
        <v>-1000</v>
      </c>
      <c r="G6" s="10"/>
      <c r="H6" s="30"/>
      <c r="I6" s="30"/>
      <c r="J6" s="30"/>
    </row>
    <row r="7" spans="1:10" ht="15" x14ac:dyDescent="0.2">
      <c r="A7" s="1"/>
      <c r="B7" s="1"/>
      <c r="C7" s="1" t="s">
        <v>600</v>
      </c>
      <c r="D7" s="77" t="s">
        <v>601</v>
      </c>
      <c r="E7" s="62">
        <v>0</v>
      </c>
      <c r="F7" s="62">
        <v>-2500</v>
      </c>
      <c r="G7" s="10"/>
      <c r="H7" s="30"/>
      <c r="I7" s="30"/>
      <c r="J7" s="30"/>
    </row>
    <row r="8" spans="1:10" ht="15" x14ac:dyDescent="0.2">
      <c r="A8" s="1"/>
      <c r="B8" s="25"/>
      <c r="C8" s="1" t="s">
        <v>602</v>
      </c>
      <c r="D8" s="77" t="s">
        <v>603</v>
      </c>
      <c r="E8" s="62">
        <v>0</v>
      </c>
      <c r="F8" s="62">
        <v>-10000</v>
      </c>
      <c r="G8" s="10"/>
      <c r="H8" s="30"/>
      <c r="I8" s="30"/>
      <c r="J8" s="30"/>
    </row>
    <row r="9" spans="1:10" ht="15" x14ac:dyDescent="0.2">
      <c r="A9" s="1"/>
      <c r="B9" s="1"/>
      <c r="C9" s="1" t="s">
        <v>604</v>
      </c>
      <c r="D9" s="77" t="s">
        <v>605</v>
      </c>
      <c r="E9" s="62">
        <v>6000</v>
      </c>
      <c r="F9" s="62">
        <v>0</v>
      </c>
      <c r="G9" s="10"/>
      <c r="H9" s="30"/>
      <c r="I9" s="30"/>
      <c r="J9" s="30"/>
    </row>
    <row r="10" spans="1:10" ht="15" x14ac:dyDescent="0.2">
      <c r="A10" s="1"/>
      <c r="B10" s="1"/>
      <c r="C10" s="1"/>
      <c r="D10" s="77"/>
      <c r="E10" s="62"/>
      <c r="F10" s="62"/>
      <c r="G10" s="10"/>
      <c r="H10" s="30"/>
      <c r="I10" s="30"/>
      <c r="J10" s="30"/>
    </row>
    <row r="11" spans="1:10" ht="15" x14ac:dyDescent="0.2">
      <c r="A11" s="1"/>
      <c r="B11" s="1"/>
      <c r="C11" s="25" t="s">
        <v>80</v>
      </c>
      <c r="D11" s="1"/>
      <c r="E11" s="62">
        <f t="shared" ref="E11:F11" si="0">SUM(E2:E10)</f>
        <v>6000</v>
      </c>
      <c r="F11" s="62">
        <f t="shared" si="0"/>
        <v>-22500</v>
      </c>
      <c r="G11" s="62">
        <f>E11+F11</f>
        <v>-16500</v>
      </c>
      <c r="H11" s="30"/>
      <c r="I11" s="30"/>
      <c r="J11" s="30"/>
    </row>
    <row r="12" spans="1:10" ht="15" x14ac:dyDescent="0.2">
      <c r="A12" s="1"/>
      <c r="B12" s="1"/>
      <c r="C12" s="1"/>
      <c r="D12" s="1"/>
      <c r="E12" s="10"/>
      <c r="F12" s="10"/>
      <c r="G12" s="10"/>
      <c r="H12" s="30"/>
      <c r="I12" s="30"/>
      <c r="J12" s="30"/>
    </row>
    <row r="13" spans="1:10" ht="15" x14ac:dyDescent="0.2">
      <c r="A13" s="1"/>
      <c r="B13" s="25" t="s">
        <v>81</v>
      </c>
      <c r="C13" s="1"/>
      <c r="D13" s="1"/>
      <c r="E13" s="10"/>
      <c r="F13" s="10"/>
      <c r="G13" s="10"/>
      <c r="H13" s="30"/>
      <c r="I13" s="30"/>
      <c r="J13" s="30"/>
    </row>
    <row r="14" spans="1:10" ht="15" x14ac:dyDescent="0.2">
      <c r="A14" s="1"/>
      <c r="B14" s="1"/>
      <c r="C14" s="1" t="s">
        <v>83</v>
      </c>
      <c r="D14" s="1">
        <v>7691</v>
      </c>
      <c r="E14" s="10">
        <v>0</v>
      </c>
      <c r="F14" s="10">
        <v>-4200</v>
      </c>
      <c r="G14" s="10"/>
      <c r="H14" s="1"/>
      <c r="I14" s="30"/>
      <c r="J14" s="30"/>
    </row>
    <row r="15" spans="1:10" ht="15" x14ac:dyDescent="0.2">
      <c r="A15" s="1"/>
      <c r="B15" s="1"/>
      <c r="C15" s="1" t="s">
        <v>82</v>
      </c>
      <c r="D15" s="1">
        <v>7631</v>
      </c>
      <c r="E15" s="10">
        <v>0</v>
      </c>
      <c r="F15" s="10">
        <v>-3500</v>
      </c>
      <c r="G15" s="10"/>
      <c r="H15" s="30"/>
      <c r="I15" s="30"/>
      <c r="J15" s="30"/>
    </row>
    <row r="16" spans="1:10" ht="15" x14ac:dyDescent="0.2">
      <c r="A16" s="1"/>
      <c r="B16" s="1"/>
      <c r="C16" s="1" t="s">
        <v>606</v>
      </c>
      <c r="D16" s="1">
        <v>5460</v>
      </c>
      <c r="E16" s="10">
        <v>0</v>
      </c>
      <c r="F16" s="10">
        <v>-1000</v>
      </c>
      <c r="G16" s="10"/>
      <c r="H16" s="1"/>
      <c r="I16" s="30"/>
      <c r="J16" s="30"/>
    </row>
    <row r="17" spans="1:10" ht="15" x14ac:dyDescent="0.2">
      <c r="A17" s="1"/>
      <c r="B17" s="1"/>
      <c r="C17" s="1"/>
      <c r="D17" s="1"/>
      <c r="E17" s="10"/>
      <c r="F17" s="10"/>
      <c r="G17" s="10"/>
      <c r="H17" s="1"/>
      <c r="I17" s="30"/>
      <c r="J17" s="30"/>
    </row>
    <row r="18" spans="1:10" ht="15" x14ac:dyDescent="0.2">
      <c r="A18" s="1"/>
      <c r="B18" s="1"/>
      <c r="C18" s="25" t="s">
        <v>80</v>
      </c>
      <c r="D18" s="1"/>
      <c r="E18" s="10">
        <f t="shared" ref="E18:F18" si="1">SUM(E15:E16)</f>
        <v>0</v>
      </c>
      <c r="F18" s="10">
        <f t="shared" si="1"/>
        <v>-4500</v>
      </c>
      <c r="G18" s="10">
        <f>E18+F18</f>
        <v>-4500</v>
      </c>
      <c r="H18" s="1"/>
      <c r="I18" s="30"/>
      <c r="J18" s="30"/>
    </row>
    <row r="19" spans="1:10" ht="14" x14ac:dyDescent="0.2">
      <c r="A19" s="1"/>
      <c r="B19" s="1"/>
      <c r="C19" s="1"/>
      <c r="D19" s="1"/>
      <c r="E19" s="10"/>
      <c r="F19" s="10"/>
      <c r="G19" s="10"/>
      <c r="H19" s="1"/>
    </row>
    <row r="20" spans="1:10" ht="14" x14ac:dyDescent="0.2">
      <c r="A20" s="1"/>
      <c r="B20" s="1"/>
      <c r="C20" s="25" t="s">
        <v>102</v>
      </c>
      <c r="D20" s="1"/>
      <c r="E20" s="62">
        <f t="shared" ref="E20:F20" si="2">SUMIFS(E2:E19,$C2:$C19,"Subsubtotal")</f>
        <v>6000</v>
      </c>
      <c r="F20" s="59">
        <f t="shared" si="2"/>
        <v>-27000</v>
      </c>
      <c r="G20" s="10">
        <f>SUM(G2:G19)</f>
        <v>-21000</v>
      </c>
      <c r="H20" s="1"/>
    </row>
    <row r="21" spans="1:10" ht="14" x14ac:dyDescent="0.2">
      <c r="A21" s="1"/>
      <c r="B21" s="1"/>
      <c r="C21" s="1"/>
      <c r="D21" s="1"/>
      <c r="E21" s="10"/>
      <c r="F21" s="10"/>
      <c r="G21" s="10"/>
      <c r="H21" s="1"/>
    </row>
  </sheetData>
  <conditionalFormatting sqref="E2:G21">
    <cfRule type="cellIs" dxfId="50" priority="1" operator="greaterThan">
      <formula>0</formula>
    </cfRule>
    <cfRule type="cellIs" dxfId="49" priority="2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88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4" x14ac:dyDescent="0.2">
      <c r="A2" s="25" t="s">
        <v>55</v>
      </c>
      <c r="B2" s="1"/>
      <c r="C2" s="1"/>
      <c r="D2" s="89"/>
      <c r="E2" s="54"/>
      <c r="F2" s="54"/>
      <c r="G2" s="90"/>
      <c r="H2" s="91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52</v>
      </c>
      <c r="B3" s="25" t="s">
        <v>81</v>
      </c>
      <c r="C3" s="1"/>
      <c r="D3" s="89"/>
      <c r="E3" s="54"/>
      <c r="F3" s="54"/>
      <c r="G3" s="90"/>
      <c r="H3" s="9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77</v>
      </c>
      <c r="D4" s="77" t="s">
        <v>595</v>
      </c>
      <c r="E4" s="70">
        <v>0</v>
      </c>
      <c r="F4" s="71">
        <v>-750</v>
      </c>
      <c r="G4" s="90"/>
      <c r="H4" s="28"/>
      <c r="I4" s="1"/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/>
      <c r="D5" s="89"/>
      <c r="E5" s="54"/>
      <c r="F5" s="54"/>
      <c r="G5" s="90"/>
      <c r="H5" s="91"/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25" t="s">
        <v>80</v>
      </c>
      <c r="D6" s="89"/>
      <c r="E6" s="70">
        <f t="shared" ref="E6:F6" si="0">SUM(E3:E5)</f>
        <v>0</v>
      </c>
      <c r="F6" s="72">
        <f t="shared" si="0"/>
        <v>-750</v>
      </c>
      <c r="G6" s="73">
        <f>SUM(E6:F6)</f>
        <v>-750</v>
      </c>
      <c r="H6" s="91"/>
      <c r="I6" s="1"/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/>
      <c r="D7" s="89"/>
      <c r="E7" s="54"/>
      <c r="F7" s="54"/>
      <c r="G7" s="91"/>
      <c r="H7" s="91"/>
      <c r="I7" s="1"/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25" t="s">
        <v>102</v>
      </c>
      <c r="D8" s="89"/>
      <c r="E8" s="70">
        <f t="shared" ref="E8:F8" si="1">SUMIFS(E2:E7,$C2:$C7,"Subsubtotal")</f>
        <v>0</v>
      </c>
      <c r="F8" s="70">
        <f t="shared" si="1"/>
        <v>-750</v>
      </c>
      <c r="G8" s="76">
        <f>SUM(E8:F8)</f>
        <v>-750</v>
      </c>
      <c r="H8" s="91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28"/>
      <c r="B9" s="28"/>
      <c r="C9" s="28"/>
      <c r="D9" s="92"/>
      <c r="E9" s="10"/>
      <c r="F9" s="10"/>
      <c r="G9" s="10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</sheetData>
  <conditionalFormatting sqref="E2:G9">
    <cfRule type="cellIs" dxfId="48" priority="1" operator="greaterThan">
      <formula>0</formula>
    </cfRule>
    <cfRule type="cellIs" dxfId="47" priority="2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I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15" customWidth="1"/>
    <col min="8" max="8" width="15.16406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6" t="s">
        <v>74</v>
      </c>
      <c r="E1" s="27" t="s">
        <v>5</v>
      </c>
      <c r="F1" s="27" t="s">
        <v>6</v>
      </c>
      <c r="G1" s="27" t="s">
        <v>75</v>
      </c>
      <c r="H1" s="26" t="s">
        <v>2</v>
      </c>
      <c r="I1" s="28"/>
    </row>
    <row r="2" spans="1:9" ht="15.75" customHeight="1" x14ac:dyDescent="0.15">
      <c r="A2" s="93" t="s">
        <v>53</v>
      </c>
      <c r="B2" s="94"/>
      <c r="C2" s="94"/>
      <c r="D2" s="94"/>
      <c r="E2" s="95"/>
      <c r="F2" s="95"/>
      <c r="G2" s="95"/>
      <c r="H2" s="94"/>
      <c r="I2" s="94"/>
    </row>
    <row r="3" spans="1:9" ht="15.75" customHeight="1" x14ac:dyDescent="0.15">
      <c r="A3" s="94" t="s">
        <v>52</v>
      </c>
      <c r="B3" s="96" t="s">
        <v>607</v>
      </c>
      <c r="C3" s="28"/>
      <c r="D3" s="28"/>
      <c r="E3" s="85"/>
      <c r="F3" s="85"/>
      <c r="G3" s="85"/>
      <c r="H3" s="97" t="s">
        <v>608</v>
      </c>
      <c r="I3" s="28"/>
    </row>
    <row r="4" spans="1:9" ht="15.75" customHeight="1" x14ac:dyDescent="0.15">
      <c r="A4" s="94"/>
      <c r="B4" s="28"/>
      <c r="C4" s="28" t="s">
        <v>607</v>
      </c>
      <c r="D4" s="97">
        <v>3052</v>
      </c>
      <c r="E4" s="98">
        <v>756500</v>
      </c>
      <c r="F4" s="98">
        <v>0</v>
      </c>
      <c r="G4" s="99"/>
      <c r="H4" s="100"/>
      <c r="I4" s="28"/>
    </row>
    <row r="5" spans="1:9" ht="15.75" customHeight="1" x14ac:dyDescent="0.15">
      <c r="A5" s="94"/>
      <c r="B5" s="28"/>
      <c r="C5" s="28" t="s">
        <v>609</v>
      </c>
      <c r="D5" s="97">
        <v>6072</v>
      </c>
      <c r="E5" s="98">
        <v>0</v>
      </c>
      <c r="F5" s="98">
        <v>-3360</v>
      </c>
      <c r="G5" s="99"/>
      <c r="H5" s="100"/>
      <c r="I5" s="28"/>
    </row>
    <row r="6" spans="1:9" ht="15.75" customHeight="1" x14ac:dyDescent="0.15">
      <c r="A6" s="94"/>
      <c r="B6" s="28"/>
      <c r="C6" s="28" t="s">
        <v>610</v>
      </c>
      <c r="D6" s="97">
        <v>3052</v>
      </c>
      <c r="E6" s="98">
        <v>50800</v>
      </c>
      <c r="F6" s="98">
        <v>0</v>
      </c>
      <c r="G6" s="99"/>
      <c r="H6" s="100"/>
      <c r="I6" s="28"/>
    </row>
    <row r="7" spans="1:9" ht="15.75" customHeight="1" x14ac:dyDescent="0.15">
      <c r="A7" s="94"/>
      <c r="B7" s="28"/>
      <c r="C7" s="28" t="s">
        <v>611</v>
      </c>
      <c r="D7" s="28"/>
      <c r="E7" s="98">
        <v>0</v>
      </c>
      <c r="F7" s="98">
        <v>-5400</v>
      </c>
      <c r="G7" s="99"/>
      <c r="H7" s="100"/>
      <c r="I7" s="28"/>
    </row>
    <row r="8" spans="1:9" ht="15.75" customHeight="1" x14ac:dyDescent="0.15">
      <c r="A8" s="94"/>
      <c r="B8" s="28"/>
      <c r="C8" s="28"/>
      <c r="D8" s="28"/>
      <c r="E8" s="99"/>
      <c r="F8" s="99"/>
      <c r="G8" s="99"/>
      <c r="H8" s="100"/>
      <c r="I8" s="28"/>
    </row>
    <row r="9" spans="1:9" ht="15.75" customHeight="1" x14ac:dyDescent="0.15">
      <c r="A9" s="94"/>
      <c r="B9" s="28"/>
      <c r="C9" s="96" t="s">
        <v>80</v>
      </c>
      <c r="D9" s="28"/>
      <c r="E9" s="98">
        <f t="shared" ref="E9:F9" si="0">SUM(E4:E7)</f>
        <v>807300</v>
      </c>
      <c r="F9" s="98">
        <f t="shared" si="0"/>
        <v>-8760</v>
      </c>
      <c r="G9" s="98">
        <f>SUM(E9:F9)</f>
        <v>798540</v>
      </c>
      <c r="H9" s="100"/>
      <c r="I9" s="28"/>
    </row>
    <row r="10" spans="1:9" ht="15.75" customHeight="1" x14ac:dyDescent="0.15">
      <c r="A10" s="94"/>
      <c r="B10" s="28"/>
      <c r="C10" s="28"/>
      <c r="D10" s="28"/>
      <c r="E10" s="99"/>
      <c r="F10" s="99"/>
      <c r="G10" s="99"/>
      <c r="H10" s="100"/>
      <c r="I10" s="28"/>
    </row>
    <row r="11" spans="1:9" ht="15.75" customHeight="1" x14ac:dyDescent="0.15">
      <c r="A11" s="94"/>
      <c r="B11" s="96" t="s">
        <v>77</v>
      </c>
      <c r="C11" s="28"/>
      <c r="D11" s="28"/>
      <c r="E11" s="99"/>
      <c r="F11" s="99"/>
      <c r="G11" s="99"/>
      <c r="H11" s="100"/>
      <c r="I11" s="28"/>
    </row>
    <row r="12" spans="1:9" ht="15.75" customHeight="1" x14ac:dyDescent="0.15">
      <c r="A12" s="94"/>
      <c r="B12" s="28"/>
      <c r="C12" s="28" t="s">
        <v>138</v>
      </c>
      <c r="D12" s="28"/>
      <c r="E12" s="98">
        <v>0</v>
      </c>
      <c r="F12" s="98">
        <v>-12250</v>
      </c>
      <c r="G12" s="99"/>
      <c r="H12" s="100" t="s">
        <v>612</v>
      </c>
      <c r="I12" s="28"/>
    </row>
    <row r="13" spans="1:9" ht="15.75" customHeight="1" x14ac:dyDescent="0.15">
      <c r="A13" s="94"/>
      <c r="B13" s="28"/>
      <c r="C13" s="28" t="s">
        <v>190</v>
      </c>
      <c r="D13" s="28"/>
      <c r="E13" s="98">
        <v>0</v>
      </c>
      <c r="F13" s="101">
        <v>-6000</v>
      </c>
      <c r="G13" s="99"/>
      <c r="H13" s="100"/>
      <c r="I13" s="28"/>
    </row>
    <row r="14" spans="1:9" ht="15.75" customHeight="1" x14ac:dyDescent="0.15">
      <c r="A14" s="94"/>
      <c r="B14" s="28"/>
      <c r="C14" s="28" t="s">
        <v>613</v>
      </c>
      <c r="D14" s="28"/>
      <c r="E14" s="98">
        <v>0</v>
      </c>
      <c r="F14" s="98">
        <v>-500</v>
      </c>
      <c r="G14" s="99"/>
      <c r="H14" s="100"/>
      <c r="I14" s="28"/>
    </row>
    <row r="15" spans="1:9" ht="15.75" customHeight="1" x14ac:dyDescent="0.15">
      <c r="A15" s="94"/>
      <c r="B15" s="28"/>
      <c r="C15" s="28" t="s">
        <v>614</v>
      </c>
      <c r="D15" s="97">
        <v>6541</v>
      </c>
      <c r="E15" s="98">
        <v>0</v>
      </c>
      <c r="F15" s="98">
        <v>-3200</v>
      </c>
      <c r="G15" s="99"/>
      <c r="H15" s="100"/>
      <c r="I15" s="28"/>
    </row>
    <row r="16" spans="1:9" ht="15.75" customHeight="1" x14ac:dyDescent="0.15">
      <c r="A16" s="94"/>
      <c r="B16" s="28"/>
      <c r="C16" s="28" t="s">
        <v>615</v>
      </c>
      <c r="D16" s="28"/>
      <c r="E16" s="98">
        <v>0</v>
      </c>
      <c r="F16" s="98">
        <v>-1500</v>
      </c>
      <c r="G16" s="99"/>
      <c r="H16" s="100"/>
      <c r="I16" s="28"/>
    </row>
    <row r="17" spans="1:9" ht="15.75" customHeight="1" x14ac:dyDescent="0.15">
      <c r="A17" s="94"/>
      <c r="B17" s="28"/>
      <c r="C17" s="28" t="s">
        <v>616</v>
      </c>
      <c r="D17" s="97">
        <v>4053</v>
      </c>
      <c r="E17" s="98">
        <v>0</v>
      </c>
      <c r="F17" s="98">
        <v>-20000</v>
      </c>
      <c r="G17" s="99"/>
      <c r="H17" s="100"/>
      <c r="I17" s="28"/>
    </row>
    <row r="18" spans="1:9" ht="15.75" customHeight="1" x14ac:dyDescent="0.15">
      <c r="A18" s="94"/>
      <c r="B18" s="28"/>
      <c r="C18" s="28"/>
      <c r="D18" s="28"/>
      <c r="E18" s="99"/>
      <c r="F18" s="99"/>
      <c r="G18" s="99"/>
      <c r="H18" s="28"/>
      <c r="I18" s="28"/>
    </row>
    <row r="19" spans="1:9" ht="15.75" customHeight="1" x14ac:dyDescent="0.15">
      <c r="A19" s="94"/>
      <c r="B19" s="28"/>
      <c r="C19" s="96" t="s">
        <v>80</v>
      </c>
      <c r="D19" s="28"/>
      <c r="E19" s="98">
        <f t="shared" ref="E19:F19" si="1">SUM(E12:E17)</f>
        <v>0</v>
      </c>
      <c r="F19" s="98">
        <f t="shared" si="1"/>
        <v>-43450</v>
      </c>
      <c r="G19" s="98">
        <f>SUM(E19:F19)</f>
        <v>-43450</v>
      </c>
      <c r="H19" s="100"/>
      <c r="I19" s="28"/>
    </row>
    <row r="20" spans="1:9" ht="15.75" customHeight="1" x14ac:dyDescent="0.15">
      <c r="A20" s="94"/>
      <c r="B20" s="28"/>
      <c r="C20" s="28"/>
      <c r="D20" s="28"/>
      <c r="E20" s="99"/>
      <c r="F20" s="99"/>
      <c r="G20" s="99"/>
      <c r="H20" s="100"/>
      <c r="I20" s="28"/>
    </row>
    <row r="21" spans="1:9" ht="15.75" customHeight="1" x14ac:dyDescent="0.15">
      <c r="A21" s="94"/>
      <c r="B21" s="96" t="s">
        <v>617</v>
      </c>
      <c r="C21" s="28"/>
      <c r="D21" s="28"/>
      <c r="E21" s="99"/>
      <c r="F21" s="99"/>
      <c r="G21" s="99"/>
      <c r="H21" s="100"/>
      <c r="I21" s="28"/>
    </row>
    <row r="22" spans="1:9" ht="15.75" customHeight="1" x14ac:dyDescent="0.15">
      <c r="A22" s="94"/>
      <c r="B22" s="28"/>
      <c r="C22" s="28" t="s">
        <v>439</v>
      </c>
      <c r="D22" s="97">
        <v>5800</v>
      </c>
      <c r="E22" s="98">
        <v>0</v>
      </c>
      <c r="F22" s="98">
        <v>-315000</v>
      </c>
      <c r="G22" s="99"/>
      <c r="H22" s="100"/>
      <c r="I22" s="28"/>
    </row>
    <row r="23" spans="1:9" ht="15.75" customHeight="1" x14ac:dyDescent="0.15">
      <c r="A23" s="94"/>
      <c r="B23" s="28"/>
      <c r="C23" s="28" t="s">
        <v>618</v>
      </c>
      <c r="D23" s="97">
        <v>5830</v>
      </c>
      <c r="E23" s="98">
        <v>0</v>
      </c>
      <c r="F23" s="98">
        <v>-162000</v>
      </c>
      <c r="G23" s="99"/>
      <c r="H23" s="100"/>
      <c r="I23" s="28"/>
    </row>
    <row r="24" spans="1:9" ht="15.75" customHeight="1" x14ac:dyDescent="0.15">
      <c r="A24" s="94"/>
      <c r="B24" s="28"/>
      <c r="C24" s="28" t="s">
        <v>619</v>
      </c>
      <c r="D24" s="97">
        <v>5890</v>
      </c>
      <c r="E24" s="98">
        <v>0</v>
      </c>
      <c r="F24" s="98">
        <v>-80000</v>
      </c>
      <c r="G24" s="99"/>
      <c r="H24" s="100"/>
      <c r="I24" s="28"/>
    </row>
    <row r="25" spans="1:9" ht="15.75" customHeight="1" x14ac:dyDescent="0.15">
      <c r="A25" s="94"/>
      <c r="B25" s="28"/>
      <c r="C25" s="28" t="s">
        <v>94</v>
      </c>
      <c r="D25" s="97">
        <v>7692</v>
      </c>
      <c r="E25" s="98">
        <v>0</v>
      </c>
      <c r="F25" s="98">
        <v>-126000</v>
      </c>
      <c r="G25" s="99"/>
      <c r="H25" s="100" t="s">
        <v>620</v>
      </c>
      <c r="I25" s="28"/>
    </row>
    <row r="26" spans="1:9" ht="15.75" customHeight="1" x14ac:dyDescent="0.15">
      <c r="A26" s="94"/>
      <c r="B26" s="28"/>
      <c r="C26" s="28"/>
      <c r="D26" s="28"/>
      <c r="E26" s="99"/>
      <c r="F26" s="99"/>
      <c r="G26" s="99"/>
      <c r="H26" s="100"/>
      <c r="I26" s="28"/>
    </row>
    <row r="27" spans="1:9" ht="15.75" customHeight="1" x14ac:dyDescent="0.15">
      <c r="A27" s="94"/>
      <c r="B27" s="28"/>
      <c r="C27" s="96" t="s">
        <v>80</v>
      </c>
      <c r="D27" s="28"/>
      <c r="E27" s="98">
        <f t="shared" ref="E27:F27" si="2">SUM(E22:E25)</f>
        <v>0</v>
      </c>
      <c r="F27" s="98">
        <f t="shared" si="2"/>
        <v>-683000</v>
      </c>
      <c r="G27" s="98">
        <f>SUM(E27:F27)</f>
        <v>-683000</v>
      </c>
      <c r="H27" s="100"/>
      <c r="I27" s="28"/>
    </row>
    <row r="28" spans="1:9" ht="15.75" customHeight="1" x14ac:dyDescent="0.15">
      <c r="A28" s="94"/>
      <c r="B28" s="28"/>
      <c r="C28" s="28"/>
      <c r="D28" s="28"/>
      <c r="E28" s="99"/>
      <c r="F28" s="99"/>
      <c r="G28" s="99"/>
      <c r="H28" s="100"/>
      <c r="I28" s="28"/>
    </row>
    <row r="29" spans="1:9" ht="15.75" customHeight="1" x14ac:dyDescent="0.15">
      <c r="A29" s="94"/>
      <c r="B29" s="96" t="s">
        <v>621</v>
      </c>
      <c r="C29" s="28"/>
      <c r="D29" s="28"/>
      <c r="E29" s="99"/>
      <c r="F29" s="99"/>
      <c r="G29" s="99"/>
      <c r="H29" s="100"/>
      <c r="I29" s="28"/>
    </row>
    <row r="30" spans="1:9" ht="15.75" customHeight="1" x14ac:dyDescent="0.15">
      <c r="A30" s="94"/>
      <c r="B30" s="28"/>
      <c r="C30" s="28" t="s">
        <v>96</v>
      </c>
      <c r="D30" s="28"/>
      <c r="E30" s="98">
        <v>0</v>
      </c>
      <c r="F30" s="98">
        <v>-850</v>
      </c>
      <c r="G30" s="99"/>
      <c r="H30" s="100"/>
      <c r="I30" s="28"/>
    </row>
    <row r="31" spans="1:9" ht="15.75" customHeight="1" x14ac:dyDescent="0.15">
      <c r="A31" s="94"/>
      <c r="B31" s="28"/>
      <c r="C31" s="28" t="s">
        <v>172</v>
      </c>
      <c r="D31" s="28"/>
      <c r="E31" s="98">
        <v>0</v>
      </c>
      <c r="F31" s="98">
        <v>-7000</v>
      </c>
      <c r="G31" s="99"/>
      <c r="H31" s="100"/>
      <c r="I31" s="28"/>
    </row>
    <row r="32" spans="1:9" ht="15.75" customHeight="1" x14ac:dyDescent="0.15">
      <c r="A32" s="94"/>
      <c r="B32" s="28"/>
      <c r="C32" s="28" t="s">
        <v>98</v>
      </c>
      <c r="D32" s="28"/>
      <c r="E32" s="98">
        <v>0</v>
      </c>
      <c r="F32" s="98">
        <v>-300</v>
      </c>
      <c r="G32" s="99"/>
      <c r="H32" s="100"/>
      <c r="I32" s="28"/>
    </row>
    <row r="33" spans="1:9" ht="15.75" customHeight="1" x14ac:dyDescent="0.15">
      <c r="A33" s="94"/>
      <c r="B33" s="28"/>
      <c r="C33" s="28"/>
      <c r="D33" s="28"/>
      <c r="E33" s="99"/>
      <c r="F33" s="99"/>
      <c r="G33" s="99"/>
      <c r="H33" s="100"/>
      <c r="I33" s="28"/>
    </row>
    <row r="34" spans="1:9" ht="15.75" customHeight="1" x14ac:dyDescent="0.15">
      <c r="A34" s="94"/>
      <c r="B34" s="28"/>
      <c r="C34" s="96" t="s">
        <v>80</v>
      </c>
      <c r="D34" s="28"/>
      <c r="E34" s="98">
        <f t="shared" ref="E34:F34" si="3">SUM(E30:E32)</f>
        <v>0</v>
      </c>
      <c r="F34" s="98">
        <f t="shared" si="3"/>
        <v>-8150</v>
      </c>
      <c r="G34" s="98">
        <f>SUM(E34:F34)</f>
        <v>-8150</v>
      </c>
      <c r="H34" s="100"/>
      <c r="I34" s="28"/>
    </row>
    <row r="35" spans="1:9" ht="15.75" customHeight="1" x14ac:dyDescent="0.15">
      <c r="A35" s="94"/>
      <c r="B35" s="28"/>
      <c r="C35" s="28"/>
      <c r="D35" s="28"/>
      <c r="E35" s="99"/>
      <c r="F35" s="99"/>
      <c r="G35" s="99"/>
      <c r="H35" s="100"/>
      <c r="I35" s="28"/>
    </row>
    <row r="36" spans="1:9" ht="15.75" customHeight="1" x14ac:dyDescent="0.15">
      <c r="A36" s="94"/>
      <c r="B36" s="96" t="s">
        <v>622</v>
      </c>
      <c r="C36" s="28"/>
      <c r="D36" s="28"/>
      <c r="E36" s="99"/>
      <c r="F36" s="99"/>
      <c r="G36" s="99"/>
      <c r="H36" s="100"/>
      <c r="I36" s="28"/>
    </row>
    <row r="37" spans="1:9" ht="15.75" customHeight="1" x14ac:dyDescent="0.15">
      <c r="A37" s="94"/>
      <c r="B37" s="28"/>
      <c r="C37" s="28" t="s">
        <v>172</v>
      </c>
      <c r="D37" s="28"/>
      <c r="E37" s="98">
        <v>0</v>
      </c>
      <c r="F37" s="98">
        <v>-12000</v>
      </c>
      <c r="G37" s="99"/>
      <c r="H37" s="100"/>
      <c r="I37" s="28"/>
    </row>
    <row r="38" spans="1:9" ht="15.75" customHeight="1" x14ac:dyDescent="0.15">
      <c r="A38" s="94"/>
      <c r="B38" s="28"/>
      <c r="C38" s="28"/>
      <c r="D38" s="28"/>
      <c r="E38" s="99"/>
      <c r="F38" s="99"/>
      <c r="G38" s="99"/>
      <c r="H38" s="100"/>
      <c r="I38" s="28"/>
    </row>
    <row r="39" spans="1:9" ht="15.75" customHeight="1" x14ac:dyDescent="0.15">
      <c r="A39" s="94"/>
      <c r="B39" s="28"/>
      <c r="C39" s="96" t="s">
        <v>80</v>
      </c>
      <c r="D39" s="28"/>
      <c r="E39" s="98">
        <f t="shared" ref="E39:F39" si="4">SUM(E37)</f>
        <v>0</v>
      </c>
      <c r="F39" s="98">
        <f t="shared" si="4"/>
        <v>-12000</v>
      </c>
      <c r="G39" s="98">
        <f>SUM(E39:F39)</f>
        <v>-12000</v>
      </c>
      <c r="H39" s="100"/>
      <c r="I39" s="28"/>
    </row>
    <row r="40" spans="1:9" ht="15.75" customHeight="1" x14ac:dyDescent="0.15">
      <c r="A40" s="94"/>
      <c r="B40" s="28"/>
      <c r="C40" s="28"/>
      <c r="D40" s="28"/>
      <c r="E40" s="99"/>
      <c r="F40" s="99"/>
      <c r="G40" s="99"/>
      <c r="H40" s="100"/>
      <c r="I40" s="28"/>
    </row>
    <row r="41" spans="1:9" ht="15.75" customHeight="1" x14ac:dyDescent="0.15">
      <c r="A41" s="94"/>
      <c r="B41" s="96" t="s">
        <v>81</v>
      </c>
      <c r="C41" s="28"/>
      <c r="D41" s="28"/>
      <c r="E41" s="99"/>
      <c r="F41" s="99"/>
      <c r="G41" s="99"/>
      <c r="H41" s="100"/>
      <c r="I41" s="28"/>
    </row>
    <row r="42" spans="1:9" ht="15.75" customHeight="1" x14ac:dyDescent="0.15">
      <c r="A42" s="94"/>
      <c r="B42" s="28"/>
      <c r="C42" s="28" t="s">
        <v>83</v>
      </c>
      <c r="D42" s="97">
        <v>7691</v>
      </c>
      <c r="E42" s="98">
        <v>0</v>
      </c>
      <c r="F42" s="98">
        <v>-6000</v>
      </c>
      <c r="G42" s="99"/>
      <c r="H42" s="100"/>
      <c r="I42" s="28"/>
    </row>
    <row r="43" spans="1:9" ht="15.75" customHeight="1" x14ac:dyDescent="0.15">
      <c r="A43" s="94"/>
      <c r="B43" s="28"/>
      <c r="C43" s="28" t="s">
        <v>623</v>
      </c>
      <c r="D43" s="28"/>
      <c r="E43" s="98">
        <v>0</v>
      </c>
      <c r="F43" s="98">
        <v>-18000</v>
      </c>
      <c r="G43" s="99"/>
      <c r="H43" s="100"/>
      <c r="I43" s="28"/>
    </row>
    <row r="44" spans="1:9" ht="15.75" customHeight="1" x14ac:dyDescent="0.15">
      <c r="A44" s="94"/>
      <c r="B44" s="28"/>
      <c r="C44" s="28" t="s">
        <v>624</v>
      </c>
      <c r="D44" s="28"/>
      <c r="E44" s="98">
        <v>0</v>
      </c>
      <c r="F44" s="98">
        <v>-3600</v>
      </c>
      <c r="G44" s="99"/>
      <c r="H44" s="100"/>
      <c r="I44" s="28"/>
    </row>
    <row r="45" spans="1:9" ht="15.75" customHeight="1" x14ac:dyDescent="0.15">
      <c r="A45" s="94"/>
      <c r="B45" s="28"/>
      <c r="C45" s="28" t="s">
        <v>82</v>
      </c>
      <c r="D45" s="97">
        <v>7631</v>
      </c>
      <c r="E45" s="98">
        <v>0</v>
      </c>
      <c r="F45" s="98">
        <v>-18000</v>
      </c>
      <c r="G45" s="99"/>
      <c r="H45" s="100"/>
      <c r="I45" s="28"/>
    </row>
    <row r="46" spans="1:9" ht="15.75" customHeight="1" x14ac:dyDescent="0.15">
      <c r="A46" s="94"/>
      <c r="B46" s="28"/>
      <c r="C46" s="28"/>
      <c r="D46" s="28"/>
      <c r="E46" s="99"/>
      <c r="F46" s="99"/>
      <c r="G46" s="99"/>
      <c r="H46" s="100"/>
      <c r="I46" s="28"/>
    </row>
    <row r="47" spans="1:9" ht="15.75" customHeight="1" x14ac:dyDescent="0.15">
      <c r="A47" s="94"/>
      <c r="B47" s="28"/>
      <c r="C47" s="96" t="s">
        <v>80</v>
      </c>
      <c r="D47" s="28"/>
      <c r="E47" s="98">
        <f t="shared" ref="E47:F47" si="5">SUM(E42:E45)</f>
        <v>0</v>
      </c>
      <c r="F47" s="98">
        <f t="shared" si="5"/>
        <v>-45600</v>
      </c>
      <c r="G47" s="98">
        <f>SUM(E47:F47)</f>
        <v>-45600</v>
      </c>
      <c r="H47" s="100"/>
      <c r="I47" s="28"/>
    </row>
    <row r="48" spans="1:9" ht="15.75" customHeight="1" x14ac:dyDescent="0.15">
      <c r="A48" s="94"/>
      <c r="B48" s="28"/>
      <c r="C48" s="28"/>
      <c r="D48" s="28"/>
      <c r="E48" s="99"/>
      <c r="F48" s="99"/>
      <c r="G48" s="99"/>
      <c r="H48" s="100"/>
      <c r="I48" s="28"/>
    </row>
    <row r="49" spans="1:9" ht="15.75" customHeight="1" x14ac:dyDescent="0.15">
      <c r="A49" s="94"/>
      <c r="B49" s="28"/>
      <c r="C49" s="96" t="s">
        <v>102</v>
      </c>
      <c r="D49" s="28"/>
      <c r="E49" s="102">
        <f t="shared" ref="E49:F49" si="6">SUMIFS(E4:E48, $C4:$C48, "Subsubtotal")</f>
        <v>807300</v>
      </c>
      <c r="F49" s="102">
        <f t="shared" si="6"/>
        <v>-800960</v>
      </c>
      <c r="G49" s="98">
        <f>SUM(E49:F49)</f>
        <v>6340</v>
      </c>
      <c r="H49" s="100"/>
      <c r="I49" s="28"/>
    </row>
    <row r="50" spans="1:9" ht="15.75" customHeight="1" x14ac:dyDescent="0.15">
      <c r="A50" s="94"/>
      <c r="B50" s="94"/>
      <c r="C50" s="94"/>
      <c r="D50" s="94"/>
      <c r="E50" s="103"/>
      <c r="F50" s="103"/>
      <c r="G50" s="103"/>
      <c r="H50" s="94"/>
      <c r="I50" s="94"/>
    </row>
  </sheetData>
  <conditionalFormatting sqref="E49:F49">
    <cfRule type="cellIs" dxfId="46" priority="1" operator="greaterThan">
      <formula>0</formula>
    </cfRule>
  </conditionalFormatting>
  <conditionalFormatting sqref="E4:G50">
    <cfRule type="cellIs" dxfId="45" priority="6" operator="greaterThan">
      <formula>0</formula>
    </cfRule>
    <cfRule type="cellIs" dxfId="44" priority="7" operator="lessThan">
      <formula>0</formula>
    </cfRule>
  </conditionalFormatting>
  <conditionalFormatting sqref="E11:G11 E1 E13:F13">
    <cfRule type="cellIs" dxfId="43" priority="3" operator="greaterThan">
      <formula>0</formula>
    </cfRule>
  </conditionalFormatting>
  <conditionalFormatting sqref="F1 G11 G13">
    <cfRule type="cellIs" dxfId="42" priority="2" operator="greaterThan">
      <formula>0</formula>
    </cfRule>
  </conditionalFormatting>
  <conditionalFormatting sqref="F1">
    <cfRule type="cellIs" dxfId="41" priority="4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I139"/>
  <sheetViews>
    <sheetView workbookViewId="0"/>
  </sheetViews>
  <sheetFormatPr baseColWidth="10" defaultColWidth="12.6640625" defaultRowHeight="15.75" customHeight="1" x14ac:dyDescent="0.15"/>
  <cols>
    <col min="1" max="1" width="15.1640625" customWidth="1"/>
    <col min="2" max="2" width="25" customWidth="1"/>
    <col min="3" max="3" width="28.5" customWidth="1"/>
    <col min="4" max="4" width="10.1640625" customWidth="1"/>
    <col min="5" max="5" width="12.1640625" customWidth="1"/>
    <col min="6" max="6" width="13.33203125" customWidth="1"/>
    <col min="7" max="7" width="12.1640625" customWidth="1"/>
    <col min="8" max="9" width="37.66406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6" t="s">
        <v>74</v>
      </c>
      <c r="E1" s="27" t="s">
        <v>5</v>
      </c>
      <c r="F1" s="27" t="s">
        <v>6</v>
      </c>
      <c r="G1" s="27" t="s">
        <v>75</v>
      </c>
      <c r="H1" s="26" t="s">
        <v>2</v>
      </c>
      <c r="I1" s="26" t="s">
        <v>625</v>
      </c>
    </row>
    <row r="2" spans="1:9" ht="15.75" customHeight="1" x14ac:dyDescent="0.25">
      <c r="A2" s="26" t="s">
        <v>54</v>
      </c>
      <c r="B2" s="94"/>
      <c r="C2" s="94"/>
      <c r="D2" s="94"/>
      <c r="E2" s="93"/>
      <c r="F2" s="93"/>
      <c r="G2" s="93"/>
      <c r="H2" s="94"/>
      <c r="I2" s="94"/>
    </row>
    <row r="3" spans="1:9" ht="15.75" customHeight="1" x14ac:dyDescent="0.2">
      <c r="A3" s="1" t="s">
        <v>52</v>
      </c>
      <c r="B3" s="104" t="s">
        <v>626</v>
      </c>
      <c r="C3" s="105"/>
      <c r="D3" s="105"/>
      <c r="E3" s="106"/>
      <c r="F3" s="106"/>
      <c r="G3" s="106"/>
      <c r="H3" s="106"/>
      <c r="I3" s="94"/>
    </row>
    <row r="4" spans="1:9" ht="15.75" customHeight="1" x14ac:dyDescent="0.2">
      <c r="A4" s="1"/>
      <c r="B4" s="1"/>
      <c r="C4" s="107" t="s">
        <v>151</v>
      </c>
      <c r="D4" s="108" t="s">
        <v>627</v>
      </c>
      <c r="E4" s="109">
        <v>0</v>
      </c>
      <c r="F4" s="109">
        <v>-3600</v>
      </c>
      <c r="G4" s="109"/>
      <c r="H4" s="91"/>
      <c r="I4" s="94"/>
    </row>
    <row r="5" spans="1:9" ht="15.75" customHeight="1" x14ac:dyDescent="0.2">
      <c r="A5" s="1"/>
      <c r="B5" s="1"/>
      <c r="C5" s="107" t="s">
        <v>628</v>
      </c>
      <c r="D5" s="108" t="s">
        <v>629</v>
      </c>
      <c r="E5" s="109">
        <v>0</v>
      </c>
      <c r="F5" s="109">
        <v>-1500</v>
      </c>
      <c r="G5" s="109"/>
      <c r="H5" s="91"/>
      <c r="I5" s="94"/>
    </row>
    <row r="6" spans="1:9" ht="15.75" customHeight="1" x14ac:dyDescent="0.2">
      <c r="A6" s="1"/>
      <c r="B6" s="1"/>
      <c r="C6" s="107" t="s">
        <v>630</v>
      </c>
      <c r="D6" s="108" t="s">
        <v>629</v>
      </c>
      <c r="E6" s="109">
        <v>0</v>
      </c>
      <c r="F6" s="109">
        <v>-1500</v>
      </c>
      <c r="G6" s="109"/>
      <c r="H6" s="91"/>
      <c r="I6" s="94"/>
    </row>
    <row r="7" spans="1:9" ht="15.75" customHeight="1" x14ac:dyDescent="0.2">
      <c r="A7" s="1"/>
      <c r="B7" s="1"/>
      <c r="C7" s="107" t="s">
        <v>83</v>
      </c>
      <c r="D7" s="108" t="s">
        <v>631</v>
      </c>
      <c r="E7" s="109">
        <v>0</v>
      </c>
      <c r="F7" s="109">
        <v>-500</v>
      </c>
      <c r="G7" s="109"/>
      <c r="H7" s="91"/>
      <c r="I7" s="94"/>
    </row>
    <row r="8" spans="1:9" ht="15.75" customHeight="1" x14ac:dyDescent="0.2">
      <c r="A8" s="1"/>
      <c r="B8" s="107"/>
      <c r="C8" s="108"/>
      <c r="D8" s="110"/>
      <c r="E8" s="109"/>
      <c r="F8" s="109"/>
      <c r="G8" s="111"/>
      <c r="H8" s="91"/>
      <c r="I8" s="94"/>
    </row>
    <row r="9" spans="1:9" ht="15.75" customHeight="1" x14ac:dyDescent="0.2">
      <c r="A9" s="1"/>
      <c r="B9" s="107"/>
      <c r="C9" s="112" t="s">
        <v>80</v>
      </c>
      <c r="D9" s="110"/>
      <c r="E9" s="109">
        <f t="shared" ref="E9:F9" si="0">SUM(E4:E7)</f>
        <v>0</v>
      </c>
      <c r="F9" s="109">
        <f t="shared" si="0"/>
        <v>-7100</v>
      </c>
      <c r="G9" s="109">
        <f>SUM(E9:F9)</f>
        <v>-7100</v>
      </c>
      <c r="H9" s="91"/>
      <c r="I9" s="94"/>
    </row>
    <row r="10" spans="1:9" ht="15.75" customHeight="1" x14ac:dyDescent="0.2">
      <c r="A10" s="1"/>
      <c r="B10" s="107"/>
      <c r="C10" s="108"/>
      <c r="D10" s="110"/>
      <c r="E10" s="109"/>
      <c r="F10" s="109"/>
      <c r="G10" s="111"/>
      <c r="H10" s="91"/>
      <c r="I10" s="94"/>
    </row>
    <row r="11" spans="1:9" ht="15.75" customHeight="1" x14ac:dyDescent="0.2">
      <c r="A11" s="1"/>
      <c r="B11" s="104" t="s">
        <v>81</v>
      </c>
      <c r="C11" s="113"/>
      <c r="D11" s="108"/>
      <c r="E11" s="109"/>
      <c r="F11" s="114"/>
      <c r="G11" s="114"/>
      <c r="H11" s="91"/>
      <c r="I11" s="94"/>
    </row>
    <row r="12" spans="1:9" ht="15.75" customHeight="1" x14ac:dyDescent="0.2">
      <c r="A12" s="1"/>
      <c r="B12" s="1"/>
      <c r="C12" s="113" t="s">
        <v>632</v>
      </c>
      <c r="D12" s="108" t="s">
        <v>631</v>
      </c>
      <c r="E12" s="109">
        <v>0</v>
      </c>
      <c r="F12" s="114">
        <v>-3000</v>
      </c>
      <c r="G12" s="114"/>
      <c r="H12" s="91"/>
      <c r="I12" s="94" t="s">
        <v>633</v>
      </c>
    </row>
    <row r="13" spans="1:9" ht="15.75" customHeight="1" x14ac:dyDescent="0.2">
      <c r="A13" s="1"/>
      <c r="B13" s="1"/>
      <c r="C13" s="113" t="s">
        <v>634</v>
      </c>
      <c r="D13" s="108" t="s">
        <v>631</v>
      </c>
      <c r="E13" s="109">
        <v>0</v>
      </c>
      <c r="F13" s="114">
        <v>-20200</v>
      </c>
      <c r="G13" s="114"/>
      <c r="H13" s="91"/>
      <c r="I13" s="94" t="s">
        <v>635</v>
      </c>
    </row>
    <row r="14" spans="1:9" ht="15.75" customHeight="1" x14ac:dyDescent="0.2">
      <c r="A14" s="1"/>
      <c r="B14" s="1"/>
      <c r="C14" s="113" t="s">
        <v>636</v>
      </c>
      <c r="D14" s="108" t="s">
        <v>631</v>
      </c>
      <c r="E14" s="109">
        <v>0</v>
      </c>
      <c r="F14" s="114">
        <v>-2000</v>
      </c>
      <c r="G14" s="114"/>
      <c r="H14" s="91"/>
      <c r="I14" s="94" t="s">
        <v>637</v>
      </c>
    </row>
    <row r="15" spans="1:9" ht="15.75" customHeight="1" x14ac:dyDescent="0.2">
      <c r="A15" s="1"/>
      <c r="B15" s="1"/>
      <c r="C15" s="113" t="s">
        <v>638</v>
      </c>
      <c r="D15" s="108" t="s">
        <v>631</v>
      </c>
      <c r="E15" s="109">
        <v>0</v>
      </c>
      <c r="F15" s="114">
        <v>-3600</v>
      </c>
      <c r="G15" s="114"/>
      <c r="H15" s="91"/>
      <c r="I15" s="94"/>
    </row>
    <row r="16" spans="1:9" ht="15.75" customHeight="1" x14ac:dyDescent="0.2">
      <c r="A16" s="1"/>
      <c r="B16" s="1"/>
      <c r="C16" s="107" t="s">
        <v>131</v>
      </c>
      <c r="D16" s="108" t="s">
        <v>639</v>
      </c>
      <c r="E16" s="109">
        <v>0</v>
      </c>
      <c r="F16" s="109">
        <v>-2000</v>
      </c>
      <c r="G16" s="109"/>
      <c r="H16" s="91"/>
      <c r="I16" s="94"/>
    </row>
    <row r="17" spans="1:9" ht="15.75" customHeight="1" x14ac:dyDescent="0.2">
      <c r="A17" s="1"/>
      <c r="B17" s="1"/>
      <c r="C17" s="107" t="s">
        <v>640</v>
      </c>
      <c r="D17" s="108" t="s">
        <v>639</v>
      </c>
      <c r="E17" s="109">
        <v>0</v>
      </c>
      <c r="F17" s="109">
        <v>-1000</v>
      </c>
      <c r="G17" s="109"/>
      <c r="H17" s="91"/>
      <c r="I17" s="94"/>
    </row>
    <row r="18" spans="1:9" ht="15.75" customHeight="1" x14ac:dyDescent="0.2">
      <c r="A18" s="1"/>
      <c r="B18" s="1"/>
      <c r="C18" s="107" t="s">
        <v>82</v>
      </c>
      <c r="D18" s="108" t="s">
        <v>641</v>
      </c>
      <c r="E18" s="109">
        <v>0</v>
      </c>
      <c r="F18" s="109">
        <v>-23750</v>
      </c>
      <c r="G18" s="109"/>
      <c r="H18" s="91"/>
      <c r="I18" s="94"/>
    </row>
    <row r="19" spans="1:9" ht="15.75" customHeight="1" x14ac:dyDescent="0.2">
      <c r="A19" s="1"/>
      <c r="B19" s="1"/>
      <c r="C19" s="1"/>
      <c r="D19" s="1"/>
      <c r="E19" s="10"/>
      <c r="F19" s="10"/>
      <c r="G19" s="10"/>
      <c r="H19" s="1"/>
      <c r="I19" s="94"/>
    </row>
    <row r="20" spans="1:9" ht="15.75" customHeight="1" x14ac:dyDescent="0.2">
      <c r="A20" s="1"/>
      <c r="B20" s="107"/>
      <c r="C20" s="112" t="s">
        <v>80</v>
      </c>
      <c r="D20" s="110"/>
      <c r="E20" s="109">
        <f t="shared" ref="E20:F20" si="1">SUM(E12:E18)</f>
        <v>0</v>
      </c>
      <c r="F20" s="109">
        <f t="shared" si="1"/>
        <v>-55550</v>
      </c>
      <c r="G20" s="109">
        <f>SUM(E20:F20)</f>
        <v>-55550</v>
      </c>
      <c r="H20" s="91"/>
      <c r="I20" s="94"/>
    </row>
    <row r="21" spans="1:9" ht="15.75" customHeight="1" x14ac:dyDescent="0.2">
      <c r="A21" s="1"/>
      <c r="B21" s="107"/>
      <c r="C21" s="108"/>
      <c r="D21" s="110"/>
      <c r="E21" s="109"/>
      <c r="F21" s="109"/>
      <c r="G21" s="111"/>
      <c r="H21" s="91"/>
      <c r="I21" s="94"/>
    </row>
    <row r="22" spans="1:9" ht="15.75" customHeight="1" x14ac:dyDescent="0.2">
      <c r="A22" s="1"/>
      <c r="B22" s="104" t="s">
        <v>77</v>
      </c>
      <c r="C22" s="105"/>
      <c r="D22" s="105"/>
      <c r="E22" s="109"/>
      <c r="F22" s="109"/>
      <c r="G22" s="109"/>
      <c r="H22" s="91"/>
      <c r="I22" s="94"/>
    </row>
    <row r="23" spans="1:9" ht="15.75" customHeight="1" x14ac:dyDescent="0.2">
      <c r="A23" s="1"/>
      <c r="B23" s="1"/>
      <c r="C23" s="107" t="s">
        <v>642</v>
      </c>
      <c r="D23" s="108" t="s">
        <v>643</v>
      </c>
      <c r="E23" s="109">
        <v>40000</v>
      </c>
      <c r="F23" s="109">
        <v>0</v>
      </c>
      <c r="G23" s="109"/>
      <c r="H23" s="91"/>
      <c r="I23" s="94" t="s">
        <v>644</v>
      </c>
    </row>
    <row r="24" spans="1:9" ht="15.75" customHeight="1" x14ac:dyDescent="0.2">
      <c r="A24" s="1"/>
      <c r="B24" s="1"/>
      <c r="C24" s="107" t="s">
        <v>645</v>
      </c>
      <c r="D24" s="108" t="s">
        <v>643</v>
      </c>
      <c r="E24" s="109">
        <v>25000</v>
      </c>
      <c r="F24" s="109">
        <v>0</v>
      </c>
      <c r="G24" s="109"/>
      <c r="H24" s="91"/>
      <c r="I24" s="94"/>
    </row>
    <row r="25" spans="1:9" ht="15.75" customHeight="1" x14ac:dyDescent="0.2">
      <c r="A25" s="1"/>
      <c r="B25" s="1"/>
      <c r="C25" s="107" t="s">
        <v>646</v>
      </c>
      <c r="D25" s="108" t="s">
        <v>627</v>
      </c>
      <c r="E25" s="109">
        <v>0</v>
      </c>
      <c r="F25" s="109">
        <v>-2000</v>
      </c>
      <c r="G25" s="109"/>
      <c r="H25" s="91"/>
      <c r="I25" s="94"/>
    </row>
    <row r="26" spans="1:9" ht="15.75" customHeight="1" x14ac:dyDescent="0.2">
      <c r="A26" s="1"/>
      <c r="B26" s="1"/>
      <c r="C26" s="107" t="s">
        <v>647</v>
      </c>
      <c r="D26" s="108" t="s">
        <v>648</v>
      </c>
      <c r="E26" s="109">
        <v>0</v>
      </c>
      <c r="F26" s="109">
        <v>-2000</v>
      </c>
      <c r="G26" s="109"/>
      <c r="H26" s="91"/>
      <c r="I26" s="94"/>
    </row>
    <row r="27" spans="1:9" ht="15.75" customHeight="1" x14ac:dyDescent="0.2">
      <c r="A27" s="1"/>
      <c r="B27" s="1"/>
      <c r="C27" s="107" t="s">
        <v>649</v>
      </c>
      <c r="D27" s="108" t="s">
        <v>650</v>
      </c>
      <c r="E27" s="109">
        <v>0</v>
      </c>
      <c r="F27" s="109">
        <v>-3000</v>
      </c>
      <c r="G27" s="109"/>
      <c r="H27" s="91"/>
      <c r="I27" s="94"/>
    </row>
    <row r="28" spans="1:9" ht="15.75" customHeight="1" x14ac:dyDescent="0.2">
      <c r="A28" s="1"/>
      <c r="B28" s="1"/>
      <c r="C28" s="1"/>
      <c r="D28" s="1"/>
      <c r="E28" s="10"/>
      <c r="F28" s="10"/>
      <c r="G28" s="10"/>
      <c r="H28" s="1"/>
      <c r="I28" s="94"/>
    </row>
    <row r="29" spans="1:9" ht="15.75" customHeight="1" x14ac:dyDescent="0.2">
      <c r="A29" s="1"/>
      <c r="B29" s="1"/>
      <c r="C29" s="112" t="s">
        <v>80</v>
      </c>
      <c r="D29" s="110"/>
      <c r="E29" s="109">
        <f t="shared" ref="E29:F29" si="2">SUM(E23:E27)</f>
        <v>65000</v>
      </c>
      <c r="F29" s="109">
        <f t="shared" si="2"/>
        <v>-7000</v>
      </c>
      <c r="G29" s="109">
        <f>SUM(E29:F29)</f>
        <v>58000</v>
      </c>
      <c r="H29" s="1"/>
      <c r="I29" s="94"/>
    </row>
    <row r="30" spans="1:9" ht="15.75" customHeight="1" x14ac:dyDescent="0.2">
      <c r="A30" s="1"/>
      <c r="B30" s="107"/>
      <c r="C30" s="108"/>
      <c r="D30" s="110"/>
      <c r="E30" s="109"/>
      <c r="F30" s="109"/>
      <c r="G30" s="10"/>
      <c r="H30" s="91"/>
      <c r="I30" s="94"/>
    </row>
    <row r="31" spans="1:9" ht="15.75" customHeight="1" x14ac:dyDescent="0.15">
      <c r="A31" s="56"/>
      <c r="B31" s="104" t="s">
        <v>651</v>
      </c>
      <c r="C31" s="115"/>
      <c r="D31" s="116"/>
      <c r="E31" s="117"/>
      <c r="F31" s="117"/>
      <c r="G31" s="117"/>
      <c r="H31" s="118"/>
      <c r="I31" s="56"/>
    </row>
    <row r="32" spans="1:9" ht="15.75" customHeight="1" x14ac:dyDescent="0.15">
      <c r="A32" s="56"/>
      <c r="B32" s="56"/>
      <c r="C32" s="113" t="s">
        <v>652</v>
      </c>
      <c r="D32" s="119" t="s">
        <v>627</v>
      </c>
      <c r="E32" s="109">
        <v>0</v>
      </c>
      <c r="F32" s="120">
        <v>-9000</v>
      </c>
      <c r="G32" s="117"/>
      <c r="H32" s="118"/>
      <c r="I32" s="28" t="s">
        <v>653</v>
      </c>
    </row>
    <row r="33" spans="1:9" ht="15.75" customHeight="1" x14ac:dyDescent="0.15">
      <c r="A33" s="56"/>
      <c r="B33" s="118"/>
      <c r="C33" s="115"/>
      <c r="D33" s="116"/>
      <c r="E33" s="117"/>
      <c r="F33" s="117"/>
      <c r="G33" s="117"/>
      <c r="H33" s="118"/>
      <c r="I33" s="56"/>
    </row>
    <row r="34" spans="1:9" ht="15.75" customHeight="1" x14ac:dyDescent="0.2">
      <c r="A34" s="56"/>
      <c r="B34" s="118"/>
      <c r="C34" s="112" t="s">
        <v>80</v>
      </c>
      <c r="D34" s="116"/>
      <c r="E34" s="109">
        <f t="shared" ref="E34:F34" si="3">SUM(E32)</f>
        <v>0</v>
      </c>
      <c r="F34" s="120">
        <f t="shared" si="3"/>
        <v>-9000</v>
      </c>
      <c r="G34" s="120">
        <f>SUM(E34:F34)</f>
        <v>-9000</v>
      </c>
      <c r="H34" s="118"/>
      <c r="I34" s="56"/>
    </row>
    <row r="35" spans="1:9" ht="15.75" customHeight="1" x14ac:dyDescent="0.2">
      <c r="A35" s="1"/>
      <c r="B35" s="104" t="s">
        <v>654</v>
      </c>
      <c r="C35" s="105"/>
      <c r="D35" s="105"/>
      <c r="E35" s="109"/>
      <c r="F35" s="109"/>
      <c r="G35" s="109"/>
      <c r="H35" s="91"/>
      <c r="I35" s="94"/>
    </row>
    <row r="36" spans="1:9" ht="15.75" customHeight="1" x14ac:dyDescent="0.2">
      <c r="A36" s="1"/>
      <c r="B36" s="1"/>
      <c r="C36" s="107" t="s">
        <v>253</v>
      </c>
      <c r="D36" s="108" t="s">
        <v>254</v>
      </c>
      <c r="E36" s="109">
        <v>0</v>
      </c>
      <c r="F36" s="109">
        <v>-2000</v>
      </c>
      <c r="G36" s="109"/>
      <c r="H36" s="107"/>
      <c r="I36" s="94"/>
    </row>
    <row r="37" spans="1:9" ht="15.75" customHeight="1" x14ac:dyDescent="0.2">
      <c r="A37" s="1"/>
      <c r="B37" s="1"/>
      <c r="C37" s="107" t="s">
        <v>255</v>
      </c>
      <c r="D37" s="108" t="s">
        <v>256</v>
      </c>
      <c r="E37" s="109">
        <v>0</v>
      </c>
      <c r="F37" s="109">
        <v>-2000</v>
      </c>
      <c r="G37" s="109"/>
      <c r="H37" s="91"/>
      <c r="I37" s="94" t="s">
        <v>655</v>
      </c>
    </row>
    <row r="38" spans="1:9" ht="15.75" customHeight="1" x14ac:dyDescent="0.2">
      <c r="A38" s="1"/>
      <c r="B38" s="1"/>
      <c r="C38" s="107" t="s">
        <v>480</v>
      </c>
      <c r="D38" s="108" t="s">
        <v>656</v>
      </c>
      <c r="E38" s="109">
        <v>0</v>
      </c>
      <c r="F38" s="109">
        <v>-12000</v>
      </c>
      <c r="G38" s="109"/>
      <c r="H38" s="91"/>
      <c r="I38" s="94" t="s">
        <v>657</v>
      </c>
    </row>
    <row r="39" spans="1:9" ht="15.75" customHeight="1" x14ac:dyDescent="0.2">
      <c r="A39" s="1"/>
      <c r="B39" s="1"/>
      <c r="C39" s="107" t="s">
        <v>658</v>
      </c>
      <c r="D39" s="108" t="s">
        <v>659</v>
      </c>
      <c r="E39" s="109">
        <v>0</v>
      </c>
      <c r="F39" s="109">
        <v>-1000</v>
      </c>
      <c r="G39" s="109"/>
      <c r="H39" s="91"/>
      <c r="I39" s="94"/>
    </row>
    <row r="40" spans="1:9" ht="15.75" customHeight="1" x14ac:dyDescent="0.2">
      <c r="A40" s="1"/>
      <c r="B40" s="1"/>
      <c r="C40" s="107" t="s">
        <v>532</v>
      </c>
      <c r="D40" s="108" t="s">
        <v>660</v>
      </c>
      <c r="E40" s="109">
        <v>0</v>
      </c>
      <c r="F40" s="109">
        <v>-5000</v>
      </c>
      <c r="G40" s="109"/>
      <c r="H40" s="91"/>
      <c r="I40" s="94"/>
    </row>
    <row r="41" spans="1:9" ht="15.75" customHeight="1" x14ac:dyDescent="0.2">
      <c r="A41" s="1"/>
      <c r="B41" s="1"/>
      <c r="C41" s="1"/>
      <c r="D41" s="1"/>
      <c r="E41" s="10"/>
      <c r="F41" s="10"/>
      <c r="G41" s="10"/>
      <c r="H41" s="1"/>
      <c r="I41" s="94"/>
    </row>
    <row r="42" spans="1:9" ht="15.75" customHeight="1" x14ac:dyDescent="0.2">
      <c r="A42" s="1"/>
      <c r="B42" s="107"/>
      <c r="C42" s="112" t="s">
        <v>80</v>
      </c>
      <c r="D42" s="110"/>
      <c r="E42" s="109">
        <f t="shared" ref="E42:F42" si="4">SUM(E36:E40)</f>
        <v>0</v>
      </c>
      <c r="F42" s="109">
        <f t="shared" si="4"/>
        <v>-22000</v>
      </c>
      <c r="G42" s="109">
        <f>SUM(E42:F42)</f>
        <v>-22000</v>
      </c>
      <c r="H42" s="91"/>
      <c r="I42" s="94"/>
    </row>
    <row r="43" spans="1:9" ht="15.75" customHeight="1" x14ac:dyDescent="0.2">
      <c r="A43" s="1"/>
      <c r="B43" s="107"/>
      <c r="C43" s="108"/>
      <c r="D43" s="110"/>
      <c r="E43" s="109"/>
      <c r="F43" s="109"/>
      <c r="G43" s="111"/>
      <c r="H43" s="91"/>
      <c r="I43" s="94"/>
    </row>
    <row r="44" spans="1:9" ht="15.75" customHeight="1" x14ac:dyDescent="0.2">
      <c r="A44" s="1"/>
      <c r="B44" s="104" t="s">
        <v>661</v>
      </c>
      <c r="C44" s="105"/>
      <c r="D44" s="105"/>
      <c r="E44" s="109"/>
      <c r="F44" s="109"/>
      <c r="G44" s="109"/>
      <c r="H44" s="91"/>
      <c r="I44" s="94"/>
    </row>
    <row r="45" spans="1:9" ht="15.75" customHeight="1" x14ac:dyDescent="0.2">
      <c r="A45" s="1"/>
      <c r="B45" s="1"/>
      <c r="C45" s="107" t="s">
        <v>662</v>
      </c>
      <c r="D45" s="108" t="s">
        <v>663</v>
      </c>
      <c r="E45" s="109">
        <v>0</v>
      </c>
      <c r="F45" s="109">
        <v>-600</v>
      </c>
      <c r="G45" s="109"/>
      <c r="H45" s="91"/>
      <c r="I45" s="94"/>
    </row>
    <row r="46" spans="1:9" ht="15.75" customHeight="1" x14ac:dyDescent="0.2">
      <c r="A46" s="1"/>
      <c r="B46" s="1"/>
      <c r="C46" s="107" t="s">
        <v>253</v>
      </c>
      <c r="D46" s="108" t="s">
        <v>254</v>
      </c>
      <c r="E46" s="109">
        <v>0</v>
      </c>
      <c r="F46" s="109">
        <v>-400</v>
      </c>
      <c r="G46" s="109"/>
      <c r="H46" s="91"/>
      <c r="I46" s="94" t="s">
        <v>664</v>
      </c>
    </row>
    <row r="47" spans="1:9" ht="15.75" customHeight="1" x14ac:dyDescent="0.2">
      <c r="A47" s="1"/>
      <c r="B47" s="107"/>
      <c r="C47" s="108"/>
      <c r="D47" s="110"/>
      <c r="E47" s="109"/>
      <c r="F47" s="109"/>
      <c r="G47" s="111"/>
      <c r="H47" s="91"/>
      <c r="I47" s="94"/>
    </row>
    <row r="48" spans="1:9" ht="15.75" customHeight="1" x14ac:dyDescent="0.2">
      <c r="A48" s="1"/>
      <c r="B48" s="107"/>
      <c r="C48" s="112" t="s">
        <v>80</v>
      </c>
      <c r="D48" s="110"/>
      <c r="E48" s="109">
        <f t="shared" ref="E48:F48" si="5">SUM(E45:E46)</f>
        <v>0</v>
      </c>
      <c r="F48" s="109">
        <f t="shared" si="5"/>
        <v>-1000</v>
      </c>
      <c r="G48" s="109">
        <f>SUM(E48:F48)</f>
        <v>-1000</v>
      </c>
      <c r="H48" s="91"/>
      <c r="I48" s="94"/>
    </row>
    <row r="49" spans="1:9" ht="15.75" customHeight="1" x14ac:dyDescent="0.2">
      <c r="A49" s="1"/>
      <c r="B49" s="107"/>
      <c r="C49" s="108"/>
      <c r="D49" s="110"/>
      <c r="E49" s="109"/>
      <c r="F49" s="109"/>
      <c r="G49" s="111"/>
      <c r="H49" s="91"/>
      <c r="I49" s="94"/>
    </row>
    <row r="50" spans="1:9" ht="15.75" customHeight="1" x14ac:dyDescent="0.2">
      <c r="A50" s="1"/>
      <c r="B50" s="104" t="s">
        <v>665</v>
      </c>
      <c r="C50" s="105"/>
      <c r="D50" s="105"/>
      <c r="E50" s="109"/>
      <c r="F50" s="109"/>
      <c r="G50" s="109"/>
      <c r="H50" s="91"/>
      <c r="I50" s="94"/>
    </row>
    <row r="51" spans="1:9" ht="15.75" customHeight="1" x14ac:dyDescent="0.2">
      <c r="A51" s="1"/>
      <c r="B51" s="1"/>
      <c r="C51" s="121" t="s">
        <v>666</v>
      </c>
      <c r="D51" s="119" t="s">
        <v>667</v>
      </c>
      <c r="E51" s="122">
        <f>ABS(F57)</f>
        <v>22000</v>
      </c>
      <c r="F51" s="123">
        <v>0</v>
      </c>
      <c r="G51" s="122">
        <f t="shared" ref="G51:G59" si="6">E51+F51</f>
        <v>22000</v>
      </c>
      <c r="H51" s="121" t="s">
        <v>668</v>
      </c>
      <c r="I51" s="94" t="s">
        <v>669</v>
      </c>
    </row>
    <row r="52" spans="1:9" ht="15.75" customHeight="1" x14ac:dyDescent="0.2">
      <c r="A52" s="1"/>
      <c r="B52" s="1"/>
      <c r="C52" s="121" t="s">
        <v>670</v>
      </c>
      <c r="D52" s="124">
        <v>3027</v>
      </c>
      <c r="E52" s="122">
        <v>12000</v>
      </c>
      <c r="F52" s="123">
        <v>0</v>
      </c>
      <c r="G52" s="122">
        <f t="shared" si="6"/>
        <v>12000</v>
      </c>
      <c r="H52" s="125"/>
      <c r="I52" s="94"/>
    </row>
    <row r="53" spans="1:9" ht="15.75" customHeight="1" x14ac:dyDescent="0.2">
      <c r="A53" s="1"/>
      <c r="B53" s="1"/>
      <c r="C53" s="121" t="s">
        <v>671</v>
      </c>
      <c r="D53" s="119" t="s">
        <v>672</v>
      </c>
      <c r="E53" s="122">
        <f>ABS((F59+F58))</f>
        <v>49000</v>
      </c>
      <c r="F53" s="123">
        <v>0</v>
      </c>
      <c r="G53" s="122">
        <f t="shared" si="6"/>
        <v>49000</v>
      </c>
      <c r="H53" s="121" t="s">
        <v>668</v>
      </c>
      <c r="I53" s="94"/>
    </row>
    <row r="54" spans="1:9" ht="15.75" customHeight="1" x14ac:dyDescent="0.2">
      <c r="A54" s="1"/>
      <c r="B54" s="1"/>
      <c r="C54" s="121" t="s">
        <v>673</v>
      </c>
      <c r="D54" s="119" t="s">
        <v>256</v>
      </c>
      <c r="E54" s="123">
        <v>0</v>
      </c>
      <c r="F54" s="126">
        <v>-500</v>
      </c>
      <c r="G54" s="126">
        <f t="shared" si="6"/>
        <v>-500</v>
      </c>
      <c r="H54" s="125"/>
      <c r="I54" s="94"/>
    </row>
    <row r="55" spans="1:9" ht="15.75" customHeight="1" x14ac:dyDescent="0.2">
      <c r="A55" s="1"/>
      <c r="B55" s="1"/>
      <c r="C55" s="121" t="s">
        <v>674</v>
      </c>
      <c r="D55" s="119" t="s">
        <v>663</v>
      </c>
      <c r="E55" s="123">
        <v>0</v>
      </c>
      <c r="F55" s="126">
        <v>-1500</v>
      </c>
      <c r="G55" s="126">
        <f t="shared" si="6"/>
        <v>-1500</v>
      </c>
      <c r="H55" s="125"/>
      <c r="I55" s="94"/>
    </row>
    <row r="56" spans="1:9" ht="15.75" customHeight="1" x14ac:dyDescent="0.2">
      <c r="A56" s="1"/>
      <c r="B56" s="1"/>
      <c r="C56" s="121" t="s">
        <v>675</v>
      </c>
      <c r="D56" s="119" t="s">
        <v>663</v>
      </c>
      <c r="E56" s="123">
        <v>0</v>
      </c>
      <c r="F56" s="126">
        <v>-9000</v>
      </c>
      <c r="G56" s="126">
        <f t="shared" si="6"/>
        <v>-9000</v>
      </c>
      <c r="H56" s="121" t="s">
        <v>676</v>
      </c>
      <c r="I56" s="94"/>
    </row>
    <row r="57" spans="1:9" ht="15.75" customHeight="1" x14ac:dyDescent="0.2">
      <c r="A57" s="1"/>
      <c r="B57" s="1"/>
      <c r="C57" s="121" t="s">
        <v>677</v>
      </c>
      <c r="D57" s="119" t="s">
        <v>678</v>
      </c>
      <c r="E57" s="123">
        <v>0</v>
      </c>
      <c r="F57" s="126">
        <v>-22000</v>
      </c>
      <c r="G57" s="126">
        <f t="shared" si="6"/>
        <v>-22000</v>
      </c>
      <c r="H57" s="121" t="s">
        <v>679</v>
      </c>
      <c r="I57" s="94"/>
    </row>
    <row r="58" spans="1:9" ht="15.75" customHeight="1" x14ac:dyDescent="0.2">
      <c r="A58" s="1"/>
      <c r="B58" s="1"/>
      <c r="C58" s="121" t="s">
        <v>680</v>
      </c>
      <c r="D58" s="119" t="s">
        <v>681</v>
      </c>
      <c r="E58" s="123">
        <v>0</v>
      </c>
      <c r="F58" s="126">
        <v>-12000</v>
      </c>
      <c r="G58" s="126">
        <f t="shared" si="6"/>
        <v>-12000</v>
      </c>
      <c r="H58" s="121" t="s">
        <v>682</v>
      </c>
      <c r="I58" s="94"/>
    </row>
    <row r="59" spans="1:9" ht="15.75" customHeight="1" x14ac:dyDescent="0.2">
      <c r="A59" s="1"/>
      <c r="B59" s="107"/>
      <c r="C59" s="121" t="s">
        <v>683</v>
      </c>
      <c r="D59" s="119" t="s">
        <v>601</v>
      </c>
      <c r="E59" s="123">
        <v>0</v>
      </c>
      <c r="F59" s="126">
        <v>-37000</v>
      </c>
      <c r="G59" s="126">
        <f t="shared" si="6"/>
        <v>-37000</v>
      </c>
      <c r="H59" s="121" t="s">
        <v>684</v>
      </c>
      <c r="I59" s="94"/>
    </row>
    <row r="60" spans="1:9" ht="15.75" customHeight="1" x14ac:dyDescent="0.2">
      <c r="A60" s="1"/>
      <c r="B60" s="107"/>
      <c r="C60" s="121"/>
      <c r="D60" s="119"/>
      <c r="E60" s="119"/>
      <c r="F60" s="127"/>
      <c r="G60" s="127"/>
      <c r="H60" s="121"/>
      <c r="I60" s="94"/>
    </row>
    <row r="61" spans="1:9" ht="15.75" customHeight="1" x14ac:dyDescent="0.2">
      <c r="A61" s="1"/>
      <c r="B61" s="107"/>
      <c r="C61" s="112" t="s">
        <v>80</v>
      </c>
      <c r="D61" s="110"/>
      <c r="E61" s="109">
        <f t="shared" ref="E61:F61" si="7">SUM(E51:E59)</f>
        <v>83000</v>
      </c>
      <c r="F61" s="109">
        <f t="shared" si="7"/>
        <v>-82000</v>
      </c>
      <c r="G61" s="109">
        <f>SUM(E61:F61)</f>
        <v>1000</v>
      </c>
      <c r="H61" s="91"/>
      <c r="I61" s="94"/>
    </row>
    <row r="62" spans="1:9" ht="15.75" customHeight="1" x14ac:dyDescent="0.2">
      <c r="A62" s="1"/>
      <c r="B62" s="107"/>
      <c r="C62" s="108"/>
      <c r="D62" s="110"/>
      <c r="E62" s="109"/>
      <c r="F62" s="109"/>
      <c r="G62" s="111"/>
      <c r="H62" s="91"/>
      <c r="I62" s="94"/>
    </row>
    <row r="63" spans="1:9" ht="15.75" customHeight="1" x14ac:dyDescent="0.2">
      <c r="A63" s="1"/>
      <c r="B63" s="104" t="s">
        <v>685</v>
      </c>
      <c r="C63" s="105"/>
      <c r="D63" s="106"/>
      <c r="E63" s="109"/>
      <c r="F63" s="109"/>
      <c r="G63" s="109"/>
      <c r="H63" s="91"/>
      <c r="I63" s="94"/>
    </row>
    <row r="64" spans="1:9" ht="15.75" customHeight="1" x14ac:dyDescent="0.2">
      <c r="A64" s="1"/>
      <c r="B64" s="1"/>
      <c r="C64" s="107" t="s">
        <v>686</v>
      </c>
      <c r="D64" s="108" t="s">
        <v>660</v>
      </c>
      <c r="E64" s="109">
        <v>0</v>
      </c>
      <c r="F64" s="109">
        <v>-16000</v>
      </c>
      <c r="G64" s="109"/>
      <c r="H64" s="91"/>
      <c r="I64" s="94" t="s">
        <v>687</v>
      </c>
    </row>
    <row r="65" spans="1:9" ht="15.75" customHeight="1" x14ac:dyDescent="0.2">
      <c r="A65" s="1"/>
      <c r="B65" s="1"/>
      <c r="C65" s="107" t="s">
        <v>688</v>
      </c>
      <c r="D65" s="108" t="s">
        <v>689</v>
      </c>
      <c r="E65" s="109">
        <v>0</v>
      </c>
      <c r="F65" s="109">
        <v>-1200</v>
      </c>
      <c r="G65" s="109"/>
      <c r="H65" s="91"/>
      <c r="I65" s="94" t="s">
        <v>690</v>
      </c>
    </row>
    <row r="66" spans="1:9" ht="15.75" customHeight="1" x14ac:dyDescent="0.2">
      <c r="A66" s="1"/>
      <c r="B66" s="107"/>
      <c r="C66" s="108"/>
      <c r="D66" s="110"/>
      <c r="E66" s="109"/>
      <c r="F66" s="109"/>
      <c r="G66" s="111"/>
      <c r="H66" s="91"/>
      <c r="I66" s="94"/>
    </row>
    <row r="67" spans="1:9" ht="15.75" customHeight="1" x14ac:dyDescent="0.2">
      <c r="A67" s="1"/>
      <c r="B67" s="107"/>
      <c r="C67" s="112" t="s">
        <v>80</v>
      </c>
      <c r="D67" s="110"/>
      <c r="E67" s="109">
        <f t="shared" ref="E67:F67" si="8">SUM(E64:E65)</f>
        <v>0</v>
      </c>
      <c r="F67" s="109">
        <f t="shared" si="8"/>
        <v>-17200</v>
      </c>
      <c r="G67" s="109">
        <f>SUM(E67:F67)</f>
        <v>-17200</v>
      </c>
      <c r="H67" s="91"/>
      <c r="I67" s="94"/>
    </row>
    <row r="68" spans="1:9" ht="15.75" customHeight="1" x14ac:dyDescent="0.2">
      <c r="A68" s="1"/>
      <c r="B68" s="107"/>
      <c r="C68" s="108"/>
      <c r="D68" s="110"/>
      <c r="E68" s="109"/>
      <c r="F68" s="109"/>
      <c r="G68" s="111"/>
      <c r="H68" s="91"/>
      <c r="I68" s="94"/>
    </row>
    <row r="69" spans="1:9" ht="15.75" customHeight="1" x14ac:dyDescent="0.2">
      <c r="A69" s="1"/>
      <c r="B69" s="104" t="s">
        <v>691</v>
      </c>
      <c r="C69" s="105"/>
      <c r="D69" s="106"/>
      <c r="E69" s="109"/>
      <c r="F69" s="109"/>
      <c r="G69" s="111"/>
      <c r="H69" s="91"/>
      <c r="I69" s="94"/>
    </row>
    <row r="70" spans="1:9" ht="15.75" customHeight="1" x14ac:dyDescent="0.2">
      <c r="A70" s="1"/>
      <c r="B70" s="1"/>
      <c r="C70" s="107" t="s">
        <v>255</v>
      </c>
      <c r="D70" s="108" t="s">
        <v>256</v>
      </c>
      <c r="E70" s="109">
        <v>0</v>
      </c>
      <c r="F70" s="109">
        <v>-1000</v>
      </c>
      <c r="G70" s="109"/>
      <c r="H70" s="91"/>
      <c r="I70" s="94"/>
    </row>
    <row r="71" spans="1:9" ht="15.75" customHeight="1" x14ac:dyDescent="0.2">
      <c r="A71" s="1"/>
      <c r="B71" s="1"/>
      <c r="C71" s="107" t="s">
        <v>308</v>
      </c>
      <c r="D71" s="108" t="s">
        <v>692</v>
      </c>
      <c r="E71" s="109">
        <v>0</v>
      </c>
      <c r="F71" s="109">
        <v>-3000</v>
      </c>
      <c r="G71" s="109"/>
      <c r="H71" s="91"/>
      <c r="I71" s="94"/>
    </row>
    <row r="72" spans="1:9" ht="15.75" customHeight="1" x14ac:dyDescent="0.2">
      <c r="A72" s="1"/>
      <c r="B72" s="1"/>
      <c r="C72" s="107" t="s">
        <v>693</v>
      </c>
      <c r="D72" s="108" t="s">
        <v>694</v>
      </c>
      <c r="E72" s="109">
        <v>0</v>
      </c>
      <c r="F72" s="109">
        <v>-7500</v>
      </c>
      <c r="G72" s="109"/>
      <c r="H72" s="91"/>
      <c r="I72" s="94"/>
    </row>
    <row r="73" spans="1:9" ht="15.75" customHeight="1" x14ac:dyDescent="0.2">
      <c r="A73" s="1"/>
      <c r="B73" s="107"/>
      <c r="C73" s="108"/>
      <c r="D73" s="110"/>
      <c r="E73" s="109"/>
      <c r="F73" s="109"/>
      <c r="G73" s="111"/>
      <c r="H73" s="91"/>
      <c r="I73" s="94"/>
    </row>
    <row r="74" spans="1:9" ht="15.75" customHeight="1" x14ac:dyDescent="0.2">
      <c r="A74" s="1"/>
      <c r="B74" s="107"/>
      <c r="C74" s="112" t="s">
        <v>80</v>
      </c>
      <c r="D74" s="110"/>
      <c r="E74" s="109">
        <f t="shared" ref="E74:F74" si="9">SUM(E70:E72)</f>
        <v>0</v>
      </c>
      <c r="F74" s="109">
        <f t="shared" si="9"/>
        <v>-11500</v>
      </c>
      <c r="G74" s="109">
        <f>SUM(E74:F74)</f>
        <v>-11500</v>
      </c>
      <c r="H74" s="1"/>
      <c r="I74" s="94"/>
    </row>
    <row r="75" spans="1:9" ht="15.75" customHeight="1" x14ac:dyDescent="0.2">
      <c r="A75" s="1"/>
      <c r="B75" s="107"/>
      <c r="C75" s="108"/>
      <c r="D75" s="110"/>
      <c r="E75" s="109"/>
      <c r="F75" s="109"/>
      <c r="G75" s="111"/>
      <c r="H75" s="91"/>
      <c r="I75" s="94"/>
    </row>
    <row r="76" spans="1:9" ht="15.75" customHeight="1" x14ac:dyDescent="0.2">
      <c r="A76" s="1"/>
      <c r="B76" s="104" t="s">
        <v>695</v>
      </c>
      <c r="C76" s="105"/>
      <c r="D76" s="106"/>
      <c r="E76" s="109"/>
      <c r="F76" s="109"/>
      <c r="G76" s="111"/>
      <c r="H76" s="91"/>
      <c r="I76" s="94"/>
    </row>
    <row r="77" spans="1:9" ht="15.75" customHeight="1" x14ac:dyDescent="0.2">
      <c r="A77" s="1"/>
      <c r="B77" s="1"/>
      <c r="C77" s="107" t="s">
        <v>695</v>
      </c>
      <c r="D77" s="108" t="s">
        <v>660</v>
      </c>
      <c r="E77" s="109">
        <v>0</v>
      </c>
      <c r="F77" s="109">
        <v>-7000</v>
      </c>
      <c r="G77" s="109"/>
      <c r="H77" s="91"/>
      <c r="I77" s="94" t="s">
        <v>696</v>
      </c>
    </row>
    <row r="78" spans="1:9" ht="15.75" customHeight="1" x14ac:dyDescent="0.2">
      <c r="A78" s="1"/>
      <c r="B78" s="107"/>
      <c r="C78" s="108"/>
      <c r="D78" s="110"/>
      <c r="E78" s="109"/>
      <c r="F78" s="109"/>
      <c r="G78" s="111"/>
      <c r="H78" s="91"/>
      <c r="I78" s="94"/>
    </row>
    <row r="79" spans="1:9" ht="15.75" customHeight="1" x14ac:dyDescent="0.2">
      <c r="A79" s="1"/>
      <c r="B79" s="107"/>
      <c r="C79" s="112" t="s">
        <v>80</v>
      </c>
      <c r="D79" s="110"/>
      <c r="E79" s="109">
        <f t="shared" ref="E79:F79" si="10">SUM(E77)</f>
        <v>0</v>
      </c>
      <c r="F79" s="109">
        <f t="shared" si="10"/>
        <v>-7000</v>
      </c>
      <c r="G79" s="109">
        <f>SUM(E79:F79)</f>
        <v>-7000</v>
      </c>
      <c r="H79" s="91"/>
      <c r="I79" s="94"/>
    </row>
    <row r="80" spans="1:9" ht="15.75" customHeight="1" x14ac:dyDescent="0.2">
      <c r="A80" s="1"/>
      <c r="B80" s="107"/>
      <c r="C80" s="112"/>
      <c r="D80" s="110"/>
      <c r="E80" s="109"/>
      <c r="F80" s="109"/>
      <c r="G80" s="109"/>
      <c r="H80" s="91"/>
      <c r="I80" s="94"/>
    </row>
    <row r="81" spans="1:9" ht="15.75" customHeight="1" x14ac:dyDescent="0.2">
      <c r="A81" s="1"/>
      <c r="B81" s="104" t="s">
        <v>697</v>
      </c>
      <c r="C81" s="105"/>
      <c r="D81" s="106"/>
      <c r="E81" s="109"/>
      <c r="F81" s="109"/>
      <c r="G81" s="111"/>
      <c r="H81" s="91"/>
      <c r="I81" s="94"/>
    </row>
    <row r="82" spans="1:9" ht="15.75" customHeight="1" x14ac:dyDescent="0.2">
      <c r="A82" s="1"/>
      <c r="B82" s="1"/>
      <c r="C82" s="107" t="s">
        <v>214</v>
      </c>
      <c r="D82" s="108" t="s">
        <v>659</v>
      </c>
      <c r="E82" s="109">
        <v>0</v>
      </c>
      <c r="F82" s="109">
        <v>-3500</v>
      </c>
      <c r="G82" s="109"/>
      <c r="H82" s="91"/>
      <c r="I82" s="94"/>
    </row>
    <row r="83" spans="1:9" ht="15.75" customHeight="1" x14ac:dyDescent="0.2">
      <c r="A83" s="1"/>
      <c r="B83" s="1"/>
      <c r="C83" s="107" t="s">
        <v>698</v>
      </c>
      <c r="D83" s="108" t="s">
        <v>699</v>
      </c>
      <c r="E83" s="109">
        <v>0</v>
      </c>
      <c r="F83" s="109">
        <v>-2500</v>
      </c>
      <c r="G83" s="109"/>
      <c r="H83" s="91"/>
      <c r="I83" s="94" t="s">
        <v>700</v>
      </c>
    </row>
    <row r="84" spans="1:9" ht="15.75" customHeight="1" x14ac:dyDescent="0.2">
      <c r="A84" s="1"/>
      <c r="B84" s="1"/>
      <c r="C84" s="113" t="s">
        <v>97</v>
      </c>
      <c r="D84" s="108" t="s">
        <v>631</v>
      </c>
      <c r="E84" s="109">
        <v>0</v>
      </c>
      <c r="F84" s="114">
        <v>-1000</v>
      </c>
      <c r="G84" s="114"/>
      <c r="H84" s="1"/>
      <c r="I84" s="94"/>
    </row>
    <row r="85" spans="1:9" ht="15.75" customHeight="1" x14ac:dyDescent="0.2">
      <c r="A85" s="1"/>
      <c r="B85" s="107"/>
      <c r="C85" s="108"/>
      <c r="D85" s="110"/>
      <c r="E85" s="109"/>
      <c r="F85" s="109"/>
      <c r="G85" s="111"/>
      <c r="H85" s="91"/>
      <c r="I85" s="94"/>
    </row>
    <row r="86" spans="1:9" ht="15.75" customHeight="1" x14ac:dyDescent="0.2">
      <c r="A86" s="1"/>
      <c r="B86" s="107"/>
      <c r="C86" s="112" t="s">
        <v>80</v>
      </c>
      <c r="D86" s="110"/>
      <c r="E86" s="109">
        <f>SUM(E82:E83)</f>
        <v>0</v>
      </c>
      <c r="F86" s="109">
        <f>SUM(F82:F84)</f>
        <v>-7000</v>
      </c>
      <c r="G86" s="109">
        <f>SUM(E86:F86)</f>
        <v>-7000</v>
      </c>
      <c r="H86" s="91"/>
      <c r="I86" s="94"/>
    </row>
    <row r="87" spans="1:9" ht="15.75" customHeight="1" x14ac:dyDescent="0.2">
      <c r="A87" s="1"/>
      <c r="B87" s="107"/>
      <c r="C87" s="108"/>
      <c r="D87" s="110"/>
      <c r="E87" s="109"/>
      <c r="F87" s="109"/>
      <c r="G87" s="111"/>
      <c r="H87" s="91"/>
      <c r="I87" s="94"/>
    </row>
    <row r="88" spans="1:9" ht="15.75" customHeight="1" x14ac:dyDescent="0.2">
      <c r="A88" s="1"/>
      <c r="B88" s="104" t="s">
        <v>701</v>
      </c>
      <c r="C88" s="113"/>
      <c r="D88" s="113"/>
      <c r="E88" s="111"/>
      <c r="F88" s="111"/>
      <c r="G88" s="111"/>
      <c r="H88" s="91"/>
      <c r="I88" s="94"/>
    </row>
    <row r="89" spans="1:9" ht="15.75" customHeight="1" x14ac:dyDescent="0.2">
      <c r="A89" s="1"/>
      <c r="B89" s="1"/>
      <c r="C89" s="113" t="s">
        <v>484</v>
      </c>
      <c r="D89" s="108" t="s">
        <v>89</v>
      </c>
      <c r="E89" s="109">
        <v>12100</v>
      </c>
      <c r="F89" s="109">
        <v>0</v>
      </c>
      <c r="G89" s="128"/>
      <c r="H89" s="91"/>
      <c r="I89" s="94"/>
    </row>
    <row r="90" spans="1:9" ht="15.75" customHeight="1" x14ac:dyDescent="0.2">
      <c r="A90" s="1"/>
      <c r="B90" s="1"/>
      <c r="C90" s="113" t="s">
        <v>286</v>
      </c>
      <c r="D90" s="61" t="s">
        <v>179</v>
      </c>
      <c r="E90" s="109">
        <v>0</v>
      </c>
      <c r="F90" s="114">
        <v>-3690</v>
      </c>
      <c r="G90" s="114"/>
      <c r="H90" s="91"/>
      <c r="I90" s="94"/>
    </row>
    <row r="91" spans="1:9" ht="15.75" customHeight="1" x14ac:dyDescent="0.2">
      <c r="A91" s="1"/>
      <c r="B91" s="1"/>
      <c r="C91" s="113" t="s">
        <v>94</v>
      </c>
      <c r="D91" s="108" t="s">
        <v>603</v>
      </c>
      <c r="E91" s="109">
        <v>0</v>
      </c>
      <c r="F91" s="114">
        <v>-5400</v>
      </c>
      <c r="G91" s="114"/>
      <c r="H91" s="91"/>
      <c r="I91" s="94"/>
    </row>
    <row r="92" spans="1:9" ht="15.75" customHeight="1" x14ac:dyDescent="0.2">
      <c r="A92" s="1"/>
      <c r="B92" s="1"/>
      <c r="C92" s="113" t="s">
        <v>101</v>
      </c>
      <c r="D92" s="108" t="s">
        <v>627</v>
      </c>
      <c r="E92" s="109">
        <v>0</v>
      </c>
      <c r="F92" s="114">
        <v>-600</v>
      </c>
      <c r="G92" s="114"/>
      <c r="H92" s="49"/>
      <c r="I92" s="94"/>
    </row>
    <row r="93" spans="1:9" ht="15.75" customHeight="1" x14ac:dyDescent="0.2">
      <c r="A93" s="1"/>
      <c r="B93" s="1"/>
      <c r="C93" s="113" t="s">
        <v>96</v>
      </c>
      <c r="D93" s="108" t="s">
        <v>699</v>
      </c>
      <c r="E93" s="109">
        <v>0</v>
      </c>
      <c r="F93" s="114">
        <v>-1300</v>
      </c>
      <c r="G93" s="114"/>
      <c r="H93" s="91"/>
      <c r="I93" s="94"/>
    </row>
    <row r="94" spans="1:9" ht="15.75" customHeight="1" x14ac:dyDescent="0.2">
      <c r="A94" s="1"/>
      <c r="B94" s="1"/>
      <c r="C94" s="113" t="s">
        <v>98</v>
      </c>
      <c r="D94" s="108" t="s">
        <v>702</v>
      </c>
      <c r="E94" s="109">
        <v>0</v>
      </c>
      <c r="F94" s="114">
        <v>-900</v>
      </c>
      <c r="G94" s="114"/>
      <c r="H94" s="91"/>
      <c r="I94" s="94"/>
    </row>
    <row r="95" spans="1:9" ht="15.75" customHeight="1" x14ac:dyDescent="0.2">
      <c r="A95" s="1"/>
      <c r="B95" s="1"/>
      <c r="C95" s="113" t="s">
        <v>703</v>
      </c>
      <c r="D95" s="108" t="s">
        <v>681</v>
      </c>
      <c r="E95" s="109">
        <v>0</v>
      </c>
      <c r="F95" s="114">
        <v>-1800</v>
      </c>
      <c r="G95" s="114"/>
      <c r="H95" s="91"/>
      <c r="I95" s="94"/>
    </row>
    <row r="96" spans="1:9" ht="15.75" customHeight="1" x14ac:dyDescent="0.2">
      <c r="A96" s="1"/>
      <c r="B96" s="1"/>
      <c r="C96" s="113" t="s">
        <v>97</v>
      </c>
      <c r="D96" s="108" t="s">
        <v>631</v>
      </c>
      <c r="E96" s="111">
        <v>0</v>
      </c>
      <c r="F96" s="111">
        <v>-300</v>
      </c>
      <c r="G96" s="114"/>
      <c r="H96" s="91"/>
      <c r="I96" s="94"/>
    </row>
    <row r="97" spans="1:9" ht="15.75" customHeight="1" x14ac:dyDescent="0.2">
      <c r="A97" s="1"/>
      <c r="B97" s="1"/>
      <c r="C97" s="113" t="s">
        <v>175</v>
      </c>
      <c r="D97" s="108" t="s">
        <v>704</v>
      </c>
      <c r="E97" s="109">
        <v>0</v>
      </c>
      <c r="F97" s="114">
        <v>-500</v>
      </c>
      <c r="G97" s="114"/>
      <c r="H97" s="91"/>
      <c r="I97" s="94"/>
    </row>
    <row r="98" spans="1:9" ht="15.75" customHeight="1" x14ac:dyDescent="0.2">
      <c r="A98" s="1"/>
      <c r="B98" s="1"/>
      <c r="C98" s="113"/>
      <c r="D98" s="129"/>
      <c r="E98" s="111"/>
      <c r="F98" s="111"/>
      <c r="G98" s="111"/>
      <c r="H98" s="91"/>
      <c r="I98" s="94"/>
    </row>
    <row r="99" spans="1:9" ht="15.75" customHeight="1" x14ac:dyDescent="0.2">
      <c r="A99" s="1"/>
      <c r="B99" s="91"/>
      <c r="C99" s="112" t="s">
        <v>80</v>
      </c>
      <c r="D99" s="129"/>
      <c r="E99" s="128">
        <f>SUM(E89:E95)</f>
        <v>12100</v>
      </c>
      <c r="F99" s="114">
        <f>SUM(F89:F97)</f>
        <v>-14490</v>
      </c>
      <c r="G99" s="109">
        <f>SUM(E99:F99)</f>
        <v>-2390</v>
      </c>
      <c r="H99" s="91"/>
      <c r="I99" s="94"/>
    </row>
    <row r="100" spans="1:9" ht="15.75" customHeight="1" x14ac:dyDescent="0.2">
      <c r="A100" s="1"/>
      <c r="B100" s="107"/>
      <c r="C100" s="108"/>
      <c r="D100" s="110"/>
      <c r="E100" s="109"/>
      <c r="F100" s="109"/>
      <c r="G100" s="111"/>
      <c r="H100" s="91"/>
      <c r="I100" s="94"/>
    </row>
    <row r="101" spans="1:9" ht="15.75" customHeight="1" x14ac:dyDescent="0.2">
      <c r="A101" s="1"/>
      <c r="B101" s="104" t="s">
        <v>705</v>
      </c>
      <c r="C101" s="113"/>
      <c r="D101" s="113"/>
      <c r="E101" s="111"/>
      <c r="F101" s="111"/>
      <c r="G101" s="111"/>
      <c r="H101" s="91"/>
      <c r="I101" s="94"/>
    </row>
    <row r="102" spans="1:9" ht="15.75" customHeight="1" x14ac:dyDescent="0.2">
      <c r="A102" s="1"/>
      <c r="B102" s="1"/>
      <c r="C102" s="113" t="s">
        <v>484</v>
      </c>
      <c r="D102" s="108" t="s">
        <v>89</v>
      </c>
      <c r="E102" s="128">
        <v>18450</v>
      </c>
      <c r="F102" s="109">
        <v>0</v>
      </c>
      <c r="G102" s="128"/>
      <c r="H102" s="91"/>
      <c r="I102" s="94"/>
    </row>
    <row r="103" spans="1:9" ht="15.75" customHeight="1" x14ac:dyDescent="0.2">
      <c r="A103" s="1"/>
      <c r="B103" s="1"/>
      <c r="C103" s="113" t="s">
        <v>286</v>
      </c>
      <c r="D103" s="61" t="s">
        <v>179</v>
      </c>
      <c r="E103" s="109">
        <v>0</v>
      </c>
      <c r="F103" s="114">
        <v>-4920</v>
      </c>
      <c r="G103" s="114"/>
      <c r="H103" s="91"/>
      <c r="I103" s="94"/>
    </row>
    <row r="104" spans="1:9" ht="15.75" customHeight="1" x14ac:dyDescent="0.2">
      <c r="A104" s="1"/>
      <c r="B104" s="1"/>
      <c r="C104" s="113" t="s">
        <v>94</v>
      </c>
      <c r="D104" s="108" t="s">
        <v>603</v>
      </c>
      <c r="E104" s="109">
        <v>0</v>
      </c>
      <c r="F104" s="114">
        <v>-7200</v>
      </c>
      <c r="G104" s="114"/>
      <c r="H104" s="91"/>
      <c r="I104" s="94"/>
    </row>
    <row r="105" spans="1:9" ht="15.75" customHeight="1" x14ac:dyDescent="0.2">
      <c r="A105" s="1"/>
      <c r="B105" s="1"/>
      <c r="C105" s="113" t="s">
        <v>101</v>
      </c>
      <c r="D105" s="108" t="s">
        <v>627</v>
      </c>
      <c r="E105" s="109">
        <v>0</v>
      </c>
      <c r="F105" s="114">
        <v>0</v>
      </c>
      <c r="G105" s="114"/>
      <c r="H105" s="49"/>
      <c r="I105" s="94"/>
    </row>
    <row r="106" spans="1:9" ht="15.75" customHeight="1" x14ac:dyDescent="0.2">
      <c r="A106" s="1"/>
      <c r="B106" s="1"/>
      <c r="C106" s="113" t="s">
        <v>96</v>
      </c>
      <c r="D106" s="108" t="s">
        <v>699</v>
      </c>
      <c r="E106" s="109">
        <v>0</v>
      </c>
      <c r="F106" s="114">
        <v>-1300</v>
      </c>
      <c r="G106" s="114"/>
      <c r="H106" s="91"/>
      <c r="I106" s="94"/>
    </row>
    <row r="107" spans="1:9" ht="15.75" customHeight="1" x14ac:dyDescent="0.2">
      <c r="A107" s="1"/>
      <c r="B107" s="1"/>
      <c r="C107" s="113" t="s">
        <v>98</v>
      </c>
      <c r="D107" s="108" t="s">
        <v>702</v>
      </c>
      <c r="E107" s="109">
        <v>0</v>
      </c>
      <c r="F107" s="114">
        <v>-1500</v>
      </c>
      <c r="G107" s="114"/>
      <c r="H107" s="91"/>
      <c r="I107" s="94"/>
    </row>
    <row r="108" spans="1:9" ht="15.75" customHeight="1" x14ac:dyDescent="0.2">
      <c r="A108" s="1"/>
      <c r="B108" s="1"/>
      <c r="C108" s="113" t="s">
        <v>703</v>
      </c>
      <c r="D108" s="108" t="s">
        <v>681</v>
      </c>
      <c r="E108" s="109">
        <v>0</v>
      </c>
      <c r="F108" s="114">
        <v>-2400</v>
      </c>
      <c r="G108" s="114"/>
      <c r="H108" s="91"/>
      <c r="I108" s="94"/>
    </row>
    <row r="109" spans="1:9" ht="15.75" customHeight="1" x14ac:dyDescent="0.2">
      <c r="A109" s="1"/>
      <c r="B109" s="91"/>
      <c r="C109" s="113" t="s">
        <v>97</v>
      </c>
      <c r="D109" s="108" t="s">
        <v>631</v>
      </c>
      <c r="E109" s="111">
        <v>0</v>
      </c>
      <c r="F109" s="111">
        <v>-300</v>
      </c>
      <c r="G109" s="114"/>
      <c r="H109" s="91"/>
      <c r="I109" s="94"/>
    </row>
    <row r="110" spans="1:9" ht="15.75" customHeight="1" x14ac:dyDescent="0.2">
      <c r="A110" s="1"/>
      <c r="B110" s="1"/>
      <c r="C110" s="113" t="s">
        <v>175</v>
      </c>
      <c r="D110" s="108" t="s">
        <v>704</v>
      </c>
      <c r="E110" s="109">
        <v>0</v>
      </c>
      <c r="F110" s="114">
        <v>-700</v>
      </c>
      <c r="G110" s="114"/>
      <c r="H110" s="91"/>
      <c r="I110" s="94"/>
    </row>
    <row r="111" spans="1:9" ht="15.75" customHeight="1" x14ac:dyDescent="0.2">
      <c r="A111" s="1"/>
      <c r="B111" s="91"/>
      <c r="C111" s="113"/>
      <c r="D111" s="129"/>
      <c r="E111" s="111"/>
      <c r="F111" s="111"/>
      <c r="G111" s="111"/>
      <c r="H111" s="91"/>
      <c r="I111" s="94"/>
    </row>
    <row r="112" spans="1:9" ht="15.75" customHeight="1" x14ac:dyDescent="0.2">
      <c r="A112" s="1"/>
      <c r="B112" s="91"/>
      <c r="C112" s="112" t="s">
        <v>80</v>
      </c>
      <c r="D112" s="129"/>
      <c r="E112" s="128">
        <f t="shared" ref="E112:F112" si="11">SUM(E102:E110)</f>
        <v>18450</v>
      </c>
      <c r="F112" s="114">
        <f t="shared" si="11"/>
        <v>-18320</v>
      </c>
      <c r="G112" s="109">
        <f>SUM(E112:F112)</f>
        <v>130</v>
      </c>
      <c r="H112" s="91"/>
      <c r="I112" s="94"/>
    </row>
    <row r="113" spans="1:9" ht="15.75" customHeight="1" x14ac:dyDescent="0.2">
      <c r="A113" s="1"/>
      <c r="B113" s="107"/>
      <c r="C113" s="108"/>
      <c r="D113" s="110"/>
      <c r="E113" s="109"/>
      <c r="F113" s="109"/>
      <c r="G113" s="111"/>
      <c r="H113" s="91"/>
      <c r="I113" s="94"/>
    </row>
    <row r="114" spans="1:9" ht="15.75" customHeight="1" x14ac:dyDescent="0.2">
      <c r="A114" s="1"/>
      <c r="B114" s="104" t="s">
        <v>706</v>
      </c>
      <c r="C114" s="113"/>
      <c r="D114" s="113"/>
      <c r="E114" s="111"/>
      <c r="F114" s="111"/>
      <c r="G114" s="111"/>
      <c r="H114" s="91"/>
      <c r="I114" s="94"/>
    </row>
    <row r="115" spans="1:9" ht="15.75" customHeight="1" x14ac:dyDescent="0.2">
      <c r="A115" s="1"/>
      <c r="B115" s="1"/>
      <c r="C115" s="113" t="s">
        <v>484</v>
      </c>
      <c r="D115" s="108" t="s">
        <v>89</v>
      </c>
      <c r="E115" s="128">
        <v>15750</v>
      </c>
      <c r="F115" s="109">
        <v>0</v>
      </c>
      <c r="G115" s="128"/>
      <c r="H115" s="91"/>
      <c r="I115" s="94"/>
    </row>
    <row r="116" spans="1:9" ht="15.75" customHeight="1" x14ac:dyDescent="0.2">
      <c r="A116" s="1"/>
      <c r="B116" s="1"/>
      <c r="C116" s="113" t="s">
        <v>286</v>
      </c>
      <c r="D116" s="61" t="s">
        <v>179</v>
      </c>
      <c r="E116" s="109">
        <v>0</v>
      </c>
      <c r="F116" s="114">
        <v>-4910</v>
      </c>
      <c r="G116" s="114"/>
      <c r="H116" s="91"/>
      <c r="I116" s="94"/>
    </row>
    <row r="117" spans="1:9" ht="15.75" customHeight="1" x14ac:dyDescent="0.2">
      <c r="A117" s="1"/>
      <c r="B117" s="1"/>
      <c r="C117" s="113" t="s">
        <v>94</v>
      </c>
      <c r="D117" s="108" t="s">
        <v>603</v>
      </c>
      <c r="E117" s="109">
        <v>0</v>
      </c>
      <c r="F117" s="114">
        <v>-7800</v>
      </c>
      <c r="G117" s="114"/>
      <c r="H117" s="91"/>
      <c r="I117" s="94"/>
    </row>
    <row r="118" spans="1:9" ht="15.75" customHeight="1" x14ac:dyDescent="0.2">
      <c r="A118" s="1"/>
      <c r="B118" s="1"/>
      <c r="C118" s="113" t="s">
        <v>101</v>
      </c>
      <c r="D118" s="108" t="s">
        <v>627</v>
      </c>
      <c r="E118" s="109">
        <v>0</v>
      </c>
      <c r="F118" s="114">
        <v>-600</v>
      </c>
      <c r="G118" s="114"/>
      <c r="H118" s="91"/>
      <c r="I118" s="94"/>
    </row>
    <row r="119" spans="1:9" ht="15.75" customHeight="1" x14ac:dyDescent="0.2">
      <c r="A119" s="1"/>
      <c r="B119" s="1"/>
      <c r="C119" s="113" t="s">
        <v>96</v>
      </c>
      <c r="D119" s="108" t="s">
        <v>699</v>
      </c>
      <c r="E119" s="109">
        <v>0</v>
      </c>
      <c r="F119" s="114">
        <v>-1200</v>
      </c>
      <c r="G119" s="114"/>
      <c r="H119" s="91"/>
      <c r="I119" s="94"/>
    </row>
    <row r="120" spans="1:9" ht="15.75" customHeight="1" x14ac:dyDescent="0.2">
      <c r="A120" s="1"/>
      <c r="B120" s="1"/>
      <c r="C120" s="113" t="s">
        <v>98</v>
      </c>
      <c r="D120" s="108" t="s">
        <v>702</v>
      </c>
      <c r="E120" s="109">
        <v>0</v>
      </c>
      <c r="F120" s="114">
        <v>-1100</v>
      </c>
      <c r="G120" s="114"/>
      <c r="H120" s="91"/>
      <c r="I120" s="94"/>
    </row>
    <row r="121" spans="1:9" ht="15.75" customHeight="1" x14ac:dyDescent="0.2">
      <c r="A121" s="1"/>
      <c r="B121" s="1"/>
      <c r="C121" s="113" t="s">
        <v>703</v>
      </c>
      <c r="D121" s="108" t="s">
        <v>681</v>
      </c>
      <c r="E121" s="109">
        <v>0</v>
      </c>
      <c r="F121" s="114">
        <v>-2100</v>
      </c>
      <c r="G121" s="114"/>
      <c r="H121" s="91"/>
      <c r="I121" s="94"/>
    </row>
    <row r="122" spans="1:9" ht="15.75" customHeight="1" x14ac:dyDescent="0.2">
      <c r="A122" s="1"/>
      <c r="B122" s="91"/>
      <c r="C122" s="113" t="s">
        <v>97</v>
      </c>
      <c r="D122" s="108" t="s">
        <v>631</v>
      </c>
      <c r="E122" s="111">
        <v>0</v>
      </c>
      <c r="F122" s="111">
        <v>-300</v>
      </c>
      <c r="G122" s="114"/>
      <c r="H122" s="91"/>
      <c r="I122" s="94"/>
    </row>
    <row r="123" spans="1:9" ht="15.75" customHeight="1" x14ac:dyDescent="0.2">
      <c r="A123" s="1"/>
      <c r="B123" s="1"/>
      <c r="C123" s="113" t="s">
        <v>175</v>
      </c>
      <c r="D123" s="108" t="s">
        <v>704</v>
      </c>
      <c r="E123" s="109">
        <v>0</v>
      </c>
      <c r="F123" s="114">
        <v>-600</v>
      </c>
      <c r="G123" s="114"/>
      <c r="H123" s="91"/>
      <c r="I123" s="94"/>
    </row>
    <row r="124" spans="1:9" ht="15.75" customHeight="1" x14ac:dyDescent="0.2">
      <c r="A124" s="1"/>
      <c r="B124" s="91"/>
      <c r="C124" s="113"/>
      <c r="D124" s="129"/>
      <c r="E124" s="111"/>
      <c r="F124" s="111"/>
      <c r="G124" s="111"/>
      <c r="H124" s="91"/>
      <c r="I124" s="94"/>
    </row>
    <row r="125" spans="1:9" ht="15.75" customHeight="1" x14ac:dyDescent="0.2">
      <c r="A125" s="1"/>
      <c r="B125" s="91"/>
      <c r="C125" s="112" t="s">
        <v>80</v>
      </c>
      <c r="D125" s="129"/>
      <c r="E125" s="128">
        <f>SUM(E115:E122)</f>
        <v>15750</v>
      </c>
      <c r="F125" s="114">
        <f>SUM(F115:F123)</f>
        <v>-18610</v>
      </c>
      <c r="G125" s="109">
        <f>SUM(E125:F125)</f>
        <v>-2860</v>
      </c>
      <c r="H125" s="91"/>
      <c r="I125" s="94"/>
    </row>
    <row r="126" spans="1:9" ht="15.75" customHeight="1" x14ac:dyDescent="0.2">
      <c r="A126" s="1"/>
      <c r="B126" s="107"/>
      <c r="C126" s="108"/>
      <c r="D126" s="110"/>
      <c r="E126" s="109"/>
      <c r="F126" s="109"/>
      <c r="G126" s="111"/>
      <c r="H126" s="91"/>
      <c r="I126" s="94"/>
    </row>
    <row r="127" spans="1:9" ht="15.75" customHeight="1" x14ac:dyDescent="0.2">
      <c r="A127" s="1"/>
      <c r="B127" s="104" t="s">
        <v>707</v>
      </c>
      <c r="C127" s="105"/>
      <c r="D127" s="106"/>
      <c r="E127" s="109"/>
      <c r="F127" s="109"/>
      <c r="G127" s="111"/>
      <c r="H127" s="91"/>
      <c r="I127" s="94"/>
    </row>
    <row r="128" spans="1:9" ht="15.75" customHeight="1" x14ac:dyDescent="0.2">
      <c r="A128" s="1"/>
      <c r="B128" s="1"/>
      <c r="C128" s="107" t="s">
        <v>484</v>
      </c>
      <c r="D128" s="108" t="s">
        <v>708</v>
      </c>
      <c r="E128" s="122">
        <v>103000</v>
      </c>
      <c r="F128" s="109">
        <v>0</v>
      </c>
      <c r="G128" s="109"/>
      <c r="H128" s="91"/>
      <c r="I128" s="94"/>
    </row>
    <row r="129" spans="1:9" ht="15.75" customHeight="1" x14ac:dyDescent="0.2">
      <c r="A129" s="1"/>
      <c r="B129" s="1"/>
      <c r="C129" s="107" t="s">
        <v>709</v>
      </c>
      <c r="D129" s="108" t="s">
        <v>710</v>
      </c>
      <c r="E129" s="109">
        <v>9100</v>
      </c>
      <c r="F129" s="109">
        <v>0</v>
      </c>
      <c r="G129" s="109"/>
      <c r="H129" s="91"/>
      <c r="I129" s="94"/>
    </row>
    <row r="130" spans="1:9" ht="15.75" customHeight="1" x14ac:dyDescent="0.2">
      <c r="A130" s="1"/>
      <c r="B130" s="1"/>
      <c r="C130" s="107" t="s">
        <v>711</v>
      </c>
      <c r="D130" s="108" t="s">
        <v>603</v>
      </c>
      <c r="E130" s="109">
        <v>0</v>
      </c>
      <c r="F130" s="109">
        <v>-8400</v>
      </c>
      <c r="G130" s="109"/>
      <c r="H130" s="91"/>
      <c r="I130" s="94"/>
    </row>
    <row r="131" spans="1:9" ht="15.75" customHeight="1" x14ac:dyDescent="0.2">
      <c r="A131" s="1"/>
      <c r="B131" s="1"/>
      <c r="C131" s="107" t="s">
        <v>712</v>
      </c>
      <c r="D131" s="108" t="s">
        <v>627</v>
      </c>
      <c r="E131" s="109">
        <v>0</v>
      </c>
      <c r="F131" s="109">
        <v>-44400</v>
      </c>
      <c r="G131" s="109"/>
      <c r="H131" s="91"/>
      <c r="I131" s="94"/>
    </row>
    <row r="132" spans="1:9" ht="15.75" customHeight="1" x14ac:dyDescent="0.2">
      <c r="A132" s="1"/>
      <c r="B132" s="1"/>
      <c r="C132" s="107" t="s">
        <v>713</v>
      </c>
      <c r="D132" s="108" t="s">
        <v>627</v>
      </c>
      <c r="E132" s="109">
        <v>0</v>
      </c>
      <c r="F132" s="109">
        <v>-400</v>
      </c>
      <c r="G132" s="109"/>
      <c r="H132" s="91"/>
      <c r="I132" s="94"/>
    </row>
    <row r="133" spans="1:9" ht="15.75" customHeight="1" x14ac:dyDescent="0.2">
      <c r="A133" s="1"/>
      <c r="B133" s="1"/>
      <c r="C133" s="107" t="s">
        <v>714</v>
      </c>
      <c r="D133" s="108" t="s">
        <v>694</v>
      </c>
      <c r="E133" s="109">
        <v>0</v>
      </c>
      <c r="F133" s="109">
        <v>-35000</v>
      </c>
      <c r="G133" s="109"/>
      <c r="H133" s="91"/>
      <c r="I133" s="94"/>
    </row>
    <row r="134" spans="1:9" ht="15.75" customHeight="1" x14ac:dyDescent="0.2">
      <c r="A134" s="1"/>
      <c r="B134" s="1"/>
      <c r="C134" s="107" t="s">
        <v>598</v>
      </c>
      <c r="D134" s="108" t="s">
        <v>715</v>
      </c>
      <c r="E134" s="109">
        <v>0</v>
      </c>
      <c r="F134" s="109">
        <v>-7000</v>
      </c>
      <c r="G134" s="109"/>
      <c r="H134" s="91"/>
      <c r="I134" s="94"/>
    </row>
    <row r="135" spans="1:9" ht="15.75" customHeight="1" x14ac:dyDescent="0.2">
      <c r="A135" s="1"/>
      <c r="B135" s="1"/>
      <c r="C135" s="107" t="s">
        <v>716</v>
      </c>
      <c r="D135" s="108" t="s">
        <v>256</v>
      </c>
      <c r="E135" s="109">
        <v>0</v>
      </c>
      <c r="F135" s="109">
        <v>-1000</v>
      </c>
      <c r="G135" s="109"/>
      <c r="H135" s="91"/>
      <c r="I135" s="94"/>
    </row>
    <row r="136" spans="1:9" ht="15.75" customHeight="1" x14ac:dyDescent="0.2">
      <c r="A136" s="1"/>
      <c r="B136" s="107"/>
      <c r="C136" s="108"/>
      <c r="D136" s="110"/>
      <c r="E136" s="109"/>
      <c r="F136" s="109"/>
      <c r="G136" s="111"/>
      <c r="H136" s="91"/>
      <c r="I136" s="94"/>
    </row>
    <row r="137" spans="1:9" ht="15.75" customHeight="1" x14ac:dyDescent="0.2">
      <c r="A137" s="1"/>
      <c r="B137" s="107"/>
      <c r="C137" s="112" t="s">
        <v>80</v>
      </c>
      <c r="D137" s="110"/>
      <c r="E137" s="109">
        <f t="shared" ref="E137:F137" si="12">SUM(E128:E135)</f>
        <v>112100</v>
      </c>
      <c r="F137" s="109">
        <f t="shared" si="12"/>
        <v>-96200</v>
      </c>
      <c r="G137" s="109">
        <f>SUM(E137:F137)</f>
        <v>15900</v>
      </c>
      <c r="H137" s="91"/>
      <c r="I137" s="94"/>
    </row>
    <row r="138" spans="1:9" ht="15.75" customHeight="1" x14ac:dyDescent="0.2">
      <c r="A138" s="1"/>
      <c r="B138" s="107"/>
      <c r="C138" s="108"/>
      <c r="D138" s="110"/>
      <c r="E138" s="109"/>
      <c r="F138" s="109"/>
      <c r="G138" s="111"/>
      <c r="H138" s="91"/>
      <c r="I138" s="94"/>
    </row>
    <row r="139" spans="1:9" ht="15.75" customHeight="1" x14ac:dyDescent="0.2">
      <c r="A139" s="1"/>
      <c r="B139" s="113"/>
      <c r="C139" s="112" t="s">
        <v>102</v>
      </c>
      <c r="D139" s="129"/>
      <c r="E139" s="109">
        <f t="shared" ref="E139:F139" si="13">SUMIFS(E4:E138,$C4:$C138,"Subsubtotal")</f>
        <v>306400</v>
      </c>
      <c r="F139" s="109">
        <f t="shared" si="13"/>
        <v>-373970</v>
      </c>
      <c r="G139" s="109">
        <f>SUM(E139:F139)</f>
        <v>-67570</v>
      </c>
      <c r="H139" s="91"/>
      <c r="I139" s="94"/>
    </row>
  </sheetData>
  <conditionalFormatting sqref="E11:F11 E1">
    <cfRule type="cellIs" dxfId="40" priority="4" operator="greaterThan">
      <formula>0</formula>
    </cfRule>
  </conditionalFormatting>
  <conditionalFormatting sqref="E3:G139">
    <cfRule type="cellIs" dxfId="39" priority="1" operator="greaterThan">
      <formula>0</formula>
    </cfRule>
    <cfRule type="cellIs" dxfId="38" priority="2" operator="lessThan">
      <formula>0</formula>
    </cfRule>
  </conditionalFormatting>
  <conditionalFormatting sqref="F1 G11">
    <cfRule type="cellIs" dxfId="37" priority="3" operator="greaterThan">
      <formula>0</formula>
    </cfRule>
  </conditionalFormatting>
  <conditionalFormatting sqref="F1">
    <cfRule type="cellIs" dxfId="36" priority="5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26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6" t="s">
        <v>625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25">
      <c r="A2" s="26" t="s">
        <v>717</v>
      </c>
      <c r="B2" s="56"/>
      <c r="C2" s="56"/>
      <c r="D2" s="56"/>
      <c r="E2" s="57"/>
      <c r="F2" s="57"/>
      <c r="G2" s="57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4" x14ac:dyDescent="0.2">
      <c r="A3" s="1" t="s">
        <v>52</v>
      </c>
      <c r="B3" s="104" t="s">
        <v>81</v>
      </c>
      <c r="C3" s="115"/>
      <c r="D3" s="115"/>
      <c r="E3" s="117"/>
      <c r="F3" s="117"/>
      <c r="G3" s="117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5.75" customHeight="1" x14ac:dyDescent="0.15">
      <c r="A4" s="56"/>
      <c r="B4" s="56"/>
      <c r="C4" s="91" t="s">
        <v>82</v>
      </c>
      <c r="D4" s="108" t="s">
        <v>641</v>
      </c>
      <c r="E4" s="109">
        <v>0</v>
      </c>
      <c r="F4" s="120">
        <v>-2250</v>
      </c>
      <c r="G4" s="117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5.75" customHeight="1" x14ac:dyDescent="0.15">
      <c r="A5" s="56"/>
      <c r="B5" s="56"/>
      <c r="C5" s="113" t="s">
        <v>83</v>
      </c>
      <c r="D5" s="108" t="s">
        <v>631</v>
      </c>
      <c r="E5" s="109">
        <v>0</v>
      </c>
      <c r="F5" s="120">
        <v>-960</v>
      </c>
      <c r="G5" s="117"/>
      <c r="H5" s="56"/>
      <c r="I5" s="28" t="s">
        <v>718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.75" customHeight="1" x14ac:dyDescent="0.15">
      <c r="A6" s="56"/>
      <c r="B6" s="56"/>
      <c r="C6" s="113" t="s">
        <v>84</v>
      </c>
      <c r="D6" s="108" t="s">
        <v>667</v>
      </c>
      <c r="E6" s="130">
        <f>ABS(F7/2)</f>
        <v>2100</v>
      </c>
      <c r="F6" s="109">
        <v>0</v>
      </c>
      <c r="G6" s="117"/>
      <c r="H6" s="28" t="s">
        <v>719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5.75" customHeight="1" x14ac:dyDescent="0.15">
      <c r="A7" s="56"/>
      <c r="B7" s="56"/>
      <c r="C7" s="113" t="s">
        <v>85</v>
      </c>
      <c r="D7" s="108" t="s">
        <v>678</v>
      </c>
      <c r="E7" s="109">
        <v>0</v>
      </c>
      <c r="F7" s="120">
        <v>-4200</v>
      </c>
      <c r="G7" s="117"/>
      <c r="H7" s="56"/>
      <c r="I7" s="28" t="s">
        <v>720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5.75" customHeight="1" x14ac:dyDescent="0.15">
      <c r="A8" s="56"/>
      <c r="B8" s="56"/>
      <c r="C8" s="113" t="s">
        <v>721</v>
      </c>
      <c r="D8" s="108" t="s">
        <v>639</v>
      </c>
      <c r="E8" s="109">
        <v>0</v>
      </c>
      <c r="F8" s="120">
        <v>-700</v>
      </c>
      <c r="G8" s="11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5.75" customHeight="1" x14ac:dyDescent="0.15">
      <c r="A9" s="56"/>
      <c r="B9" s="56"/>
      <c r="C9" s="131"/>
      <c r="D9" s="132"/>
      <c r="E9" s="57"/>
      <c r="F9" s="57"/>
      <c r="G9" s="57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4" x14ac:dyDescent="0.2">
      <c r="A10" s="56"/>
      <c r="B10" s="118"/>
      <c r="C10" s="112" t="s">
        <v>80</v>
      </c>
      <c r="D10" s="116"/>
      <c r="E10" s="130">
        <f t="shared" ref="E10:F10" si="0">SUM(E4:E8)</f>
        <v>2100</v>
      </c>
      <c r="F10" s="120">
        <f t="shared" si="0"/>
        <v>-8110</v>
      </c>
      <c r="G10" s="120">
        <f>SUM(E10:F10)</f>
        <v>-6010</v>
      </c>
      <c r="H10" s="56"/>
      <c r="I10" s="28" t="s">
        <v>682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75" customHeight="1" x14ac:dyDescent="0.15">
      <c r="A11" s="56"/>
      <c r="B11" s="56"/>
      <c r="C11" s="131"/>
      <c r="D11" s="131"/>
      <c r="E11" s="57"/>
      <c r="F11" s="57"/>
      <c r="G11" s="57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75" customHeight="1" x14ac:dyDescent="0.15">
      <c r="A12" s="56"/>
      <c r="B12" s="104" t="s">
        <v>722</v>
      </c>
      <c r="C12" s="115"/>
      <c r="D12" s="115"/>
      <c r="E12" s="117"/>
      <c r="F12" s="117"/>
      <c r="G12" s="117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75" customHeight="1" x14ac:dyDescent="0.15">
      <c r="A13" s="56"/>
      <c r="B13" s="56"/>
      <c r="C13" s="113" t="s">
        <v>723</v>
      </c>
      <c r="D13" s="108" t="s">
        <v>708</v>
      </c>
      <c r="E13" s="130">
        <v>576690</v>
      </c>
      <c r="F13" s="109">
        <v>0</v>
      </c>
      <c r="G13" s="117"/>
      <c r="H13" s="28" t="s">
        <v>724</v>
      </c>
      <c r="I13" s="28" t="s">
        <v>725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75" customHeight="1" x14ac:dyDescent="0.15">
      <c r="A14" s="56"/>
      <c r="B14" s="56"/>
      <c r="C14" s="113" t="s">
        <v>726</v>
      </c>
      <c r="D14" s="108" t="s">
        <v>708</v>
      </c>
      <c r="E14" s="130">
        <v>32790</v>
      </c>
      <c r="F14" s="109">
        <v>0</v>
      </c>
      <c r="G14" s="117"/>
      <c r="H14" s="28" t="s">
        <v>727</v>
      </c>
      <c r="I14" s="28" t="s">
        <v>728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75" customHeight="1" x14ac:dyDescent="0.15">
      <c r="A15" s="56"/>
      <c r="B15" s="56"/>
      <c r="C15" s="113" t="s">
        <v>729</v>
      </c>
      <c r="D15" s="108" t="s">
        <v>730</v>
      </c>
      <c r="E15" s="109">
        <v>0</v>
      </c>
      <c r="F15" s="120">
        <v>-474480</v>
      </c>
      <c r="G15" s="117"/>
      <c r="H15" s="28" t="s">
        <v>731</v>
      </c>
      <c r="I15" s="28" t="s">
        <v>732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75" customHeight="1" x14ac:dyDescent="0.15">
      <c r="A16" s="56"/>
      <c r="B16" s="56"/>
      <c r="C16" s="113" t="s">
        <v>598</v>
      </c>
      <c r="D16" s="108" t="s">
        <v>733</v>
      </c>
      <c r="E16" s="109">
        <v>0</v>
      </c>
      <c r="F16" s="120">
        <v>-115560</v>
      </c>
      <c r="G16" s="117"/>
      <c r="H16" s="28" t="s">
        <v>734</v>
      </c>
      <c r="I16" s="28" t="s">
        <v>735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75" customHeight="1" x14ac:dyDescent="0.15">
      <c r="A17" s="56"/>
      <c r="B17" s="56"/>
      <c r="C17" s="113" t="s">
        <v>736</v>
      </c>
      <c r="D17" s="108" t="s">
        <v>708</v>
      </c>
      <c r="E17" s="109">
        <v>0</v>
      </c>
      <c r="F17" s="120">
        <v>-115200</v>
      </c>
      <c r="G17" s="117"/>
      <c r="H17" s="28" t="s">
        <v>737</v>
      </c>
      <c r="I17" s="28" t="s">
        <v>738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75" customHeight="1" x14ac:dyDescent="0.15">
      <c r="A18" s="56"/>
      <c r="B18" s="56"/>
      <c r="C18" s="113" t="s">
        <v>739</v>
      </c>
      <c r="D18" s="108" t="s">
        <v>740</v>
      </c>
      <c r="E18" s="109">
        <v>0</v>
      </c>
      <c r="F18" s="120">
        <v>-432</v>
      </c>
      <c r="G18" s="117"/>
      <c r="H18" s="56"/>
      <c r="I18" s="28" t="s">
        <v>741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75" customHeight="1" x14ac:dyDescent="0.15">
      <c r="A19" s="56"/>
      <c r="B19" s="56"/>
      <c r="C19" s="113" t="s">
        <v>742</v>
      </c>
      <c r="D19" s="108" t="s">
        <v>678</v>
      </c>
      <c r="E19" s="109">
        <v>0</v>
      </c>
      <c r="F19" s="120">
        <v>-14400</v>
      </c>
      <c r="G19" s="117"/>
      <c r="H19" s="56"/>
      <c r="I19" s="28" t="s">
        <v>743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75" customHeight="1" x14ac:dyDescent="0.15">
      <c r="A20" s="56"/>
      <c r="B20" s="56"/>
      <c r="C20" s="113" t="s">
        <v>374</v>
      </c>
      <c r="D20" s="108" t="s">
        <v>681</v>
      </c>
      <c r="E20" s="109">
        <v>0</v>
      </c>
      <c r="F20" s="120">
        <v>-4320</v>
      </c>
      <c r="G20" s="117"/>
      <c r="H20" s="56"/>
      <c r="I20" s="28" t="s">
        <v>682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15">
      <c r="A21" s="56"/>
      <c r="B21" s="56"/>
      <c r="C21" s="56"/>
      <c r="D21" s="56"/>
      <c r="E21" s="57"/>
      <c r="F21" s="57"/>
      <c r="G21" s="57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4" x14ac:dyDescent="0.2">
      <c r="A22" s="56"/>
      <c r="B22" s="118"/>
      <c r="C22" s="112" t="s">
        <v>80</v>
      </c>
      <c r="D22" s="116"/>
      <c r="E22" s="130">
        <f t="shared" ref="E22:F22" si="1">SUM(E13:E20)</f>
        <v>609480</v>
      </c>
      <c r="F22" s="120">
        <f t="shared" si="1"/>
        <v>-724392</v>
      </c>
      <c r="G22" s="120">
        <f>SUM(E22:F22)</f>
        <v>-114912</v>
      </c>
      <c r="H22" s="28" t="s">
        <v>744</v>
      </c>
      <c r="I22" s="28" t="s">
        <v>745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1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4" x14ac:dyDescent="0.2">
      <c r="A24" s="56"/>
      <c r="B24" s="56"/>
      <c r="C24" s="25" t="s">
        <v>102</v>
      </c>
      <c r="D24" s="56"/>
      <c r="E24" s="62">
        <f t="shared" ref="E24:F24" si="2">SUMIFS(E4:E22,$C4:$C22,"Subsubtotal")</f>
        <v>611580</v>
      </c>
      <c r="F24" s="62">
        <f t="shared" si="2"/>
        <v>-732502</v>
      </c>
      <c r="G24" s="133">
        <f>SUM(E24+F24)</f>
        <v>-120922</v>
      </c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5.75" customHeight="1" x14ac:dyDescent="0.1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1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</sheetData>
  <conditionalFormatting sqref="E2:F2 G2:G3 G11">
    <cfRule type="cellIs" dxfId="35" priority="2" operator="greaterThan">
      <formula>0</formula>
    </cfRule>
  </conditionalFormatting>
  <conditionalFormatting sqref="E3:F3 E11:F11">
    <cfRule type="cellIs" dxfId="34" priority="1" operator="greaterThan">
      <formula>0</formula>
    </cfRule>
  </conditionalFormatting>
  <conditionalFormatting sqref="E2:G9 E11:G22">
    <cfRule type="cellIs" dxfId="33" priority="3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"/>
  <sheetViews>
    <sheetView workbookViewId="0">
      <selection activeCell="A3" sqref="A3"/>
    </sheetView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2.6640625" customWidth="1"/>
    <col min="4" max="4" width="10.1640625" customWidth="1"/>
    <col min="5" max="5" width="11.83203125" customWidth="1"/>
    <col min="6" max="6" width="11.6640625" customWidth="1"/>
    <col min="8" max="8" width="26.16406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6" t="s">
        <v>746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25">
      <c r="A2" s="26" t="s">
        <v>66</v>
      </c>
      <c r="B2" s="56"/>
      <c r="C2" s="56"/>
      <c r="D2" s="56"/>
      <c r="E2" s="57"/>
      <c r="F2" s="57"/>
      <c r="G2" s="57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4" x14ac:dyDescent="0.2">
      <c r="A3" s="1" t="s">
        <v>864</v>
      </c>
      <c r="B3" s="25" t="s">
        <v>77</v>
      </c>
      <c r="C3" s="56"/>
      <c r="D3" s="56"/>
      <c r="E3" s="57"/>
      <c r="F3" s="57"/>
      <c r="G3" s="57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4" x14ac:dyDescent="0.2">
      <c r="A4" s="56"/>
      <c r="B4" s="56"/>
      <c r="C4" s="1" t="s">
        <v>195</v>
      </c>
      <c r="D4" s="61">
        <v>6541</v>
      </c>
      <c r="E4" s="62">
        <v>0</v>
      </c>
      <c r="F4" s="63">
        <v>-8000</v>
      </c>
      <c r="G4" s="57"/>
      <c r="H4" s="57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4" x14ac:dyDescent="0.2">
      <c r="A5" s="56"/>
      <c r="B5" s="56"/>
      <c r="C5" s="1" t="s">
        <v>82</v>
      </c>
      <c r="D5" s="134" t="s">
        <v>641</v>
      </c>
      <c r="E5" s="62">
        <v>0</v>
      </c>
      <c r="F5" s="63">
        <v>-1250</v>
      </c>
      <c r="G5" s="57"/>
      <c r="H5" s="57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.75" customHeight="1" x14ac:dyDescent="0.15">
      <c r="A6" s="56"/>
      <c r="B6" s="56"/>
      <c r="C6" s="56"/>
      <c r="D6" s="135"/>
      <c r="E6" s="57"/>
      <c r="F6" s="57"/>
      <c r="G6" s="57"/>
      <c r="H6" s="57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4" x14ac:dyDescent="0.2">
      <c r="A7" s="56"/>
      <c r="B7" s="56"/>
      <c r="C7" s="25" t="s">
        <v>80</v>
      </c>
      <c r="D7" s="56"/>
      <c r="E7" s="62">
        <f t="shared" ref="E7:F7" si="0">SUM(E4:E5)</f>
        <v>0</v>
      </c>
      <c r="F7" s="63">
        <f t="shared" si="0"/>
        <v>-9250</v>
      </c>
      <c r="G7" s="63">
        <f>E7+F7</f>
        <v>-9250</v>
      </c>
      <c r="H7" s="57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5.75" customHeight="1" x14ac:dyDescent="0.15">
      <c r="A8" s="56"/>
      <c r="B8" s="56"/>
      <c r="C8" s="56"/>
      <c r="D8" s="56"/>
      <c r="E8" s="57"/>
      <c r="F8" s="57"/>
      <c r="G8" s="57"/>
      <c r="H8" s="57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4" x14ac:dyDescent="0.2">
      <c r="A9" s="56"/>
      <c r="B9" s="56"/>
      <c r="C9" s="25" t="s">
        <v>102</v>
      </c>
      <c r="D9" s="56"/>
      <c r="E9" s="31">
        <f t="shared" ref="E9:F9" si="1">SUMIFS(E2:E8,$C2:$C8,"Subsubtotal")</f>
        <v>0</v>
      </c>
      <c r="F9" s="37">
        <f t="shared" si="1"/>
        <v>-9250</v>
      </c>
      <c r="G9" s="63">
        <f>SUM(G2:G8)</f>
        <v>-9250</v>
      </c>
      <c r="H9" s="57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5.75" customHeight="1" x14ac:dyDescent="0.15">
      <c r="A10" s="56"/>
      <c r="B10" s="56"/>
      <c r="C10" s="56"/>
      <c r="D10" s="56"/>
      <c r="E10" s="57"/>
      <c r="F10" s="57"/>
      <c r="G10" s="57"/>
      <c r="H10" s="57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</sheetData>
  <conditionalFormatting sqref="E2:G10">
    <cfRule type="cellIs" dxfId="32" priority="1" operator="greaterThan">
      <formula>0</formula>
    </cfRule>
    <cfRule type="cellIs" dxfId="31" priority="2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J14"/>
  <sheetViews>
    <sheetView workbookViewId="0">
      <selection activeCell="B26" sqref="B26"/>
    </sheetView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69</v>
      </c>
      <c r="B2" s="28"/>
      <c r="C2" s="28"/>
      <c r="D2" s="28"/>
      <c r="E2" s="29"/>
      <c r="F2" s="29"/>
      <c r="G2" s="29"/>
    </row>
    <row r="3" spans="1:10" ht="15" x14ac:dyDescent="0.2">
      <c r="A3" s="1" t="s">
        <v>864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253</v>
      </c>
      <c r="D4" s="1">
        <v>4037</v>
      </c>
      <c r="E4" s="10">
        <v>0</v>
      </c>
      <c r="F4" s="10">
        <v>-1000</v>
      </c>
      <c r="G4" s="10"/>
      <c r="H4" s="30"/>
      <c r="I4" s="30"/>
      <c r="J4" s="30"/>
    </row>
    <row r="5" spans="1:10" ht="15" x14ac:dyDescent="0.2">
      <c r="A5" s="1"/>
      <c r="B5" s="1"/>
      <c r="C5" s="1" t="s">
        <v>98</v>
      </c>
      <c r="D5" s="1">
        <v>5463</v>
      </c>
      <c r="E5" s="10">
        <v>0</v>
      </c>
      <c r="F5" s="10">
        <v>-500</v>
      </c>
      <c r="G5" s="10"/>
      <c r="H5" s="30"/>
      <c r="I5" s="30"/>
      <c r="J5" s="30"/>
    </row>
    <row r="6" spans="1:10" ht="15" x14ac:dyDescent="0.2">
      <c r="A6" s="1"/>
      <c r="B6" s="1"/>
      <c r="C6" s="1" t="s">
        <v>747</v>
      </c>
      <c r="D6" s="1">
        <v>5411</v>
      </c>
      <c r="E6" s="10">
        <v>0</v>
      </c>
      <c r="F6" s="10">
        <v>-1000</v>
      </c>
      <c r="G6" s="10"/>
      <c r="H6" s="30"/>
      <c r="I6" s="30"/>
      <c r="J6" s="30"/>
    </row>
    <row r="7" spans="1:10" ht="15" x14ac:dyDescent="0.2">
      <c r="A7" s="1"/>
      <c r="B7" s="1"/>
      <c r="C7" s="1" t="s">
        <v>748</v>
      </c>
      <c r="D7" s="1">
        <v>4045</v>
      </c>
      <c r="E7" s="10">
        <v>0</v>
      </c>
      <c r="F7" s="10">
        <v>-5000</v>
      </c>
      <c r="G7" s="10"/>
      <c r="H7" s="30"/>
      <c r="I7" s="30" t="s">
        <v>312</v>
      </c>
      <c r="J7" s="30"/>
    </row>
    <row r="8" spans="1:10" ht="15" x14ac:dyDescent="0.2">
      <c r="A8" s="1"/>
      <c r="B8" s="1"/>
      <c r="C8" s="1" t="s">
        <v>749</v>
      </c>
      <c r="D8" s="1">
        <v>7691</v>
      </c>
      <c r="E8" s="10">
        <v>0</v>
      </c>
      <c r="F8" s="10">
        <v>-500</v>
      </c>
      <c r="G8" s="10"/>
      <c r="H8" s="30"/>
      <c r="I8" s="30"/>
      <c r="J8" s="30"/>
    </row>
    <row r="9" spans="1:10" ht="15" x14ac:dyDescent="0.2">
      <c r="A9" s="1"/>
      <c r="B9" s="25"/>
      <c r="C9" s="1" t="s">
        <v>151</v>
      </c>
      <c r="D9" s="1">
        <v>5010</v>
      </c>
      <c r="E9" s="10">
        <v>0</v>
      </c>
      <c r="F9" s="10">
        <v>-3600</v>
      </c>
      <c r="G9" s="10"/>
      <c r="H9" s="30"/>
      <c r="I9" s="30"/>
      <c r="J9" s="30"/>
    </row>
    <row r="10" spans="1:10" ht="15" x14ac:dyDescent="0.2">
      <c r="A10" s="1"/>
      <c r="B10" s="1"/>
      <c r="C10" s="1"/>
      <c r="D10" s="1"/>
      <c r="E10" s="10"/>
      <c r="F10" s="10"/>
      <c r="G10" s="10"/>
      <c r="H10" s="30"/>
      <c r="I10" s="30"/>
      <c r="J10" s="30"/>
    </row>
    <row r="11" spans="1:10" ht="15" x14ac:dyDescent="0.2">
      <c r="A11" s="1"/>
      <c r="B11" s="1"/>
      <c r="C11" s="25" t="s">
        <v>80</v>
      </c>
      <c r="D11" s="1"/>
      <c r="E11" s="10">
        <f t="shared" ref="E11:F11" si="0">SUM(E4:E9)</f>
        <v>0</v>
      </c>
      <c r="F11" s="10">
        <f t="shared" si="0"/>
        <v>-11600</v>
      </c>
      <c r="G11" s="10">
        <f>E11+F11</f>
        <v>-11600</v>
      </c>
      <c r="H11" s="30"/>
      <c r="I11" s="30"/>
      <c r="J11" s="30"/>
    </row>
    <row r="12" spans="1:10" ht="15" x14ac:dyDescent="0.2">
      <c r="A12" s="1"/>
      <c r="B12" s="1"/>
      <c r="C12" s="1"/>
      <c r="D12" s="1"/>
      <c r="E12" s="10"/>
      <c r="F12" s="10"/>
      <c r="G12" s="10"/>
      <c r="H12" s="30"/>
      <c r="I12" s="30"/>
      <c r="J12" s="30"/>
    </row>
    <row r="13" spans="1:10" ht="15" x14ac:dyDescent="0.2">
      <c r="A13" s="1"/>
      <c r="B13" s="1"/>
      <c r="C13" s="25" t="s">
        <v>102</v>
      </c>
      <c r="D13" s="1"/>
      <c r="E13" s="8">
        <f t="shared" ref="E13:F13" si="1">SUMIFS(E2:E11,$C2:$C11,"Subsubtotal")</f>
        <v>0</v>
      </c>
      <c r="F13" s="31">
        <f t="shared" si="1"/>
        <v>-11600</v>
      </c>
      <c r="G13" s="10">
        <f>SUM(G2:G11)</f>
        <v>-11600</v>
      </c>
      <c r="H13" s="30"/>
      <c r="I13" s="30"/>
      <c r="J13" s="30"/>
    </row>
    <row r="14" spans="1:10" ht="15" x14ac:dyDescent="0.2">
      <c r="A14" s="1"/>
      <c r="B14" s="1"/>
      <c r="C14" s="1"/>
      <c r="D14" s="1"/>
      <c r="E14" s="10"/>
      <c r="F14" s="10"/>
      <c r="G14" s="10"/>
      <c r="H14" s="30"/>
      <c r="I14" s="30"/>
      <c r="J14" s="30"/>
    </row>
  </sheetData>
  <conditionalFormatting sqref="E2:G14">
    <cfRule type="cellIs" dxfId="30" priority="1" operator="greaterThan">
      <formula>0</formula>
    </cfRule>
    <cfRule type="cellIs" dxfId="29" priority="2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J710"/>
  <sheetViews>
    <sheetView workbookViewId="0">
      <selection activeCell="B19" sqref="B19"/>
    </sheetView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68</v>
      </c>
      <c r="B2" s="28"/>
      <c r="C2" s="28"/>
      <c r="D2" s="28"/>
      <c r="E2" s="29"/>
      <c r="F2" s="29"/>
      <c r="G2" s="29"/>
    </row>
    <row r="3" spans="1:10" ht="15" x14ac:dyDescent="0.2">
      <c r="A3" s="1" t="s">
        <v>864</v>
      </c>
      <c r="B3" s="25" t="s">
        <v>81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83</v>
      </c>
      <c r="D4" s="1">
        <v>7691</v>
      </c>
      <c r="E4" s="10">
        <v>0</v>
      </c>
      <c r="F4" s="10">
        <v>-1500</v>
      </c>
      <c r="G4" s="10"/>
      <c r="H4" s="30"/>
      <c r="I4" s="30"/>
      <c r="J4" s="30"/>
    </row>
    <row r="5" spans="1:10" ht="15" x14ac:dyDescent="0.2">
      <c r="A5" s="1"/>
      <c r="B5" s="1"/>
      <c r="C5" s="1" t="s">
        <v>750</v>
      </c>
      <c r="D5" s="1"/>
      <c r="E5" s="10">
        <v>0</v>
      </c>
      <c r="F5" s="10">
        <v>-150</v>
      </c>
      <c r="G5" s="10"/>
      <c r="H5" s="30"/>
      <c r="I5" s="30"/>
      <c r="J5" s="30"/>
    </row>
    <row r="6" spans="1:10" ht="15" x14ac:dyDescent="0.2">
      <c r="A6" s="1"/>
      <c r="B6" s="1"/>
      <c r="C6" s="1"/>
      <c r="D6" s="1"/>
      <c r="E6" s="10"/>
      <c r="F6" s="10"/>
      <c r="G6" s="10"/>
      <c r="H6" s="30"/>
      <c r="I6" s="30"/>
      <c r="J6" s="30"/>
    </row>
    <row r="7" spans="1:10" ht="15" x14ac:dyDescent="0.2">
      <c r="A7" s="1"/>
      <c r="B7" s="1"/>
      <c r="C7" s="25" t="s">
        <v>80</v>
      </c>
      <c r="D7" s="1"/>
      <c r="E7" s="10">
        <f>SUM(E4)</f>
        <v>0</v>
      </c>
      <c r="F7" s="10">
        <f>SUM(F4:F5)</f>
        <v>-1650</v>
      </c>
      <c r="G7" s="10">
        <f>E7+F7</f>
        <v>-1650</v>
      </c>
      <c r="H7" s="30"/>
      <c r="I7" s="30"/>
      <c r="J7" s="30"/>
    </row>
    <row r="8" spans="1:10" ht="14" x14ac:dyDescent="0.2">
      <c r="C8" s="25"/>
      <c r="D8" s="1"/>
      <c r="E8" s="8"/>
      <c r="F8" s="31"/>
      <c r="G8" s="10"/>
    </row>
    <row r="9" spans="1:10" ht="14" x14ac:dyDescent="0.2">
      <c r="C9" s="25" t="s">
        <v>102</v>
      </c>
      <c r="D9" s="1"/>
      <c r="E9" s="8">
        <f t="shared" ref="E9:F9" si="0">SUMIFS(E2:E7,$C2:$C7,"Subsubtotal")</f>
        <v>0</v>
      </c>
      <c r="F9" s="31">
        <f t="shared" si="0"/>
        <v>-1650</v>
      </c>
      <c r="G9" s="10">
        <f>SUM(G2:G7)</f>
        <v>-1650</v>
      </c>
    </row>
    <row r="10" spans="1:10" ht="15.75" customHeight="1" x14ac:dyDescent="0.15">
      <c r="E10" s="33"/>
      <c r="F10" s="33"/>
      <c r="G10" s="33"/>
    </row>
    <row r="11" spans="1:10" ht="15.75" customHeight="1" x14ac:dyDescent="0.15">
      <c r="E11" s="33"/>
      <c r="F11" s="33"/>
      <c r="G11" s="33"/>
    </row>
    <row r="12" spans="1:10" ht="14" x14ac:dyDescent="0.2">
      <c r="E12" s="10"/>
      <c r="F12" s="10"/>
      <c r="G12" s="10"/>
    </row>
    <row r="13" spans="1:10" ht="14" x14ac:dyDescent="0.2">
      <c r="E13" s="10"/>
      <c r="F13" s="10"/>
      <c r="G13" s="10"/>
    </row>
    <row r="14" spans="1:10" ht="14" x14ac:dyDescent="0.2">
      <c r="E14" s="10"/>
      <c r="F14" s="10"/>
      <c r="G14" s="10"/>
    </row>
    <row r="15" spans="1:10" ht="14" x14ac:dyDescent="0.2">
      <c r="E15" s="10"/>
      <c r="F15" s="10"/>
      <c r="G15" s="10"/>
    </row>
    <row r="16" spans="1:10" ht="14" x14ac:dyDescent="0.2">
      <c r="E16" s="10"/>
      <c r="F16" s="10"/>
      <c r="G16" s="10"/>
    </row>
    <row r="17" spans="5:7" ht="14" x14ac:dyDescent="0.2">
      <c r="E17" s="10"/>
      <c r="F17" s="10"/>
      <c r="G17" s="10"/>
    </row>
    <row r="18" spans="5:7" ht="14" x14ac:dyDescent="0.2">
      <c r="E18" s="10"/>
      <c r="F18" s="10"/>
      <c r="G18" s="10"/>
    </row>
    <row r="19" spans="5:7" ht="14" x14ac:dyDescent="0.2">
      <c r="E19" s="10"/>
      <c r="F19" s="10"/>
      <c r="G19" s="10"/>
    </row>
    <row r="20" spans="5:7" ht="14" x14ac:dyDescent="0.2">
      <c r="E20" s="10"/>
      <c r="F20" s="10"/>
      <c r="G20" s="10"/>
    </row>
    <row r="21" spans="5:7" ht="14" x14ac:dyDescent="0.2">
      <c r="E21" s="10"/>
      <c r="F21" s="10"/>
      <c r="G21" s="10"/>
    </row>
    <row r="22" spans="5:7" ht="14" x14ac:dyDescent="0.2">
      <c r="E22" s="10"/>
      <c r="F22" s="10"/>
      <c r="G22" s="10"/>
    </row>
    <row r="23" spans="5:7" ht="14" x14ac:dyDescent="0.2">
      <c r="E23" s="10"/>
      <c r="F23" s="10"/>
      <c r="G23" s="10"/>
    </row>
    <row r="24" spans="5:7" ht="14" x14ac:dyDescent="0.2">
      <c r="E24" s="10"/>
      <c r="F24" s="10"/>
      <c r="G24" s="10"/>
    </row>
    <row r="25" spans="5:7" ht="14" x14ac:dyDescent="0.2">
      <c r="E25" s="10"/>
      <c r="F25" s="10"/>
      <c r="G25" s="10"/>
    </row>
    <row r="26" spans="5:7" ht="14" x14ac:dyDescent="0.2">
      <c r="E26" s="10"/>
      <c r="F26" s="10"/>
      <c r="G26" s="10"/>
    </row>
    <row r="27" spans="5:7" ht="14" x14ac:dyDescent="0.2">
      <c r="E27" s="10"/>
      <c r="F27" s="10"/>
      <c r="G27" s="10"/>
    </row>
    <row r="28" spans="5:7" ht="14" x14ac:dyDescent="0.2">
      <c r="E28" s="10"/>
      <c r="F28" s="10"/>
      <c r="G28" s="10"/>
    </row>
    <row r="29" spans="5:7" ht="14" x14ac:dyDescent="0.2">
      <c r="E29" s="10"/>
      <c r="F29" s="10"/>
      <c r="G29" s="10"/>
    </row>
    <row r="30" spans="5:7" ht="14" x14ac:dyDescent="0.2">
      <c r="E30" s="10"/>
      <c r="F30" s="10"/>
      <c r="G30" s="10"/>
    </row>
    <row r="31" spans="5:7" ht="14" x14ac:dyDescent="0.2">
      <c r="E31" s="10"/>
      <c r="F31" s="10"/>
      <c r="G31" s="10"/>
    </row>
    <row r="32" spans="5:7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5.75" customHeight="1" x14ac:dyDescent="0.15">
      <c r="E47" s="33"/>
      <c r="F47" s="33"/>
      <c r="G47" s="33"/>
    </row>
    <row r="48" spans="5:7" ht="15.75" customHeight="1" x14ac:dyDescent="0.15">
      <c r="E48" s="33"/>
      <c r="F48" s="33"/>
      <c r="G48" s="33"/>
    </row>
    <row r="49" spans="5:7" ht="15.75" customHeight="1" x14ac:dyDescent="0.15">
      <c r="E49" s="33"/>
      <c r="F49" s="33"/>
      <c r="G49" s="33"/>
    </row>
    <row r="50" spans="5:7" ht="15.75" customHeight="1" x14ac:dyDescent="0.15">
      <c r="E50" s="33"/>
      <c r="F50" s="33"/>
      <c r="G50" s="33"/>
    </row>
    <row r="51" spans="5:7" ht="15.75" customHeight="1" x14ac:dyDescent="0.15">
      <c r="E51" s="33"/>
      <c r="F51" s="33"/>
      <c r="G51" s="33"/>
    </row>
    <row r="52" spans="5:7" ht="15.75" customHeight="1" x14ac:dyDescent="0.15">
      <c r="E52" s="33"/>
      <c r="F52" s="33"/>
      <c r="G52" s="33"/>
    </row>
    <row r="53" spans="5:7" ht="15.75" customHeight="1" x14ac:dyDescent="0.15">
      <c r="E53" s="33"/>
      <c r="F53" s="33"/>
      <c r="G53" s="33"/>
    </row>
    <row r="54" spans="5:7" ht="15.75" customHeight="1" x14ac:dyDescent="0.15">
      <c r="E54" s="33"/>
      <c r="F54" s="33"/>
      <c r="G54" s="33"/>
    </row>
    <row r="55" spans="5:7" ht="15.75" customHeight="1" x14ac:dyDescent="0.15">
      <c r="E55" s="33"/>
      <c r="F55" s="33"/>
      <c r="G55" s="33"/>
    </row>
    <row r="56" spans="5:7" ht="15.75" customHeight="1" x14ac:dyDescent="0.15">
      <c r="E56" s="33"/>
      <c r="F56" s="33"/>
      <c r="G56" s="33"/>
    </row>
    <row r="57" spans="5:7" ht="15.75" customHeight="1" x14ac:dyDescent="0.15">
      <c r="E57" s="33"/>
      <c r="F57" s="33"/>
      <c r="G57" s="33"/>
    </row>
    <row r="58" spans="5:7" ht="15.75" customHeight="1" x14ac:dyDescent="0.15">
      <c r="E58" s="33"/>
      <c r="F58" s="33"/>
      <c r="G58" s="33"/>
    </row>
    <row r="59" spans="5:7" ht="15.75" customHeight="1" x14ac:dyDescent="0.15">
      <c r="E59" s="33"/>
      <c r="F59" s="33"/>
      <c r="G59" s="33"/>
    </row>
    <row r="60" spans="5:7" ht="15.75" customHeight="1" x14ac:dyDescent="0.15">
      <c r="E60" s="33"/>
      <c r="F60" s="33"/>
      <c r="G60" s="33"/>
    </row>
    <row r="61" spans="5:7" ht="15.75" customHeight="1" x14ac:dyDescent="0.15">
      <c r="E61" s="33"/>
      <c r="F61" s="33"/>
      <c r="G61" s="33"/>
    </row>
    <row r="62" spans="5:7" ht="15.75" customHeight="1" x14ac:dyDescent="0.15">
      <c r="E62" s="33"/>
      <c r="F62" s="33"/>
      <c r="G62" s="33"/>
    </row>
    <row r="63" spans="5:7" ht="15.75" customHeight="1" x14ac:dyDescent="0.15">
      <c r="E63" s="33"/>
      <c r="F63" s="33"/>
      <c r="G63" s="33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</sheetData>
  <conditionalFormatting sqref="E2:G710">
    <cfRule type="cellIs" dxfId="28" priority="1" operator="greaterThan">
      <formula>0</formula>
    </cfRule>
    <cfRule type="cellIs" dxfId="27" priority="2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J20"/>
  <sheetViews>
    <sheetView tabSelected="1" workbookViewId="0">
      <selection activeCell="B17" sqref="B17"/>
    </sheetView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67</v>
      </c>
      <c r="B2" s="28"/>
      <c r="C2" s="28"/>
      <c r="D2" s="28"/>
      <c r="E2" s="29"/>
      <c r="F2" s="29"/>
      <c r="G2" s="29"/>
    </row>
    <row r="3" spans="1:10" ht="15" x14ac:dyDescent="0.2">
      <c r="A3" s="1" t="s">
        <v>864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751</v>
      </c>
      <c r="D4" s="1">
        <v>6900</v>
      </c>
      <c r="E4" s="10">
        <v>0</v>
      </c>
      <c r="F4" s="10">
        <v>-14400</v>
      </c>
      <c r="G4" s="10"/>
      <c r="H4" s="30"/>
      <c r="I4" s="30"/>
      <c r="J4" s="30"/>
    </row>
    <row r="5" spans="1:10" ht="15" x14ac:dyDescent="0.2">
      <c r="A5" s="1"/>
      <c r="B5" s="1"/>
      <c r="C5" s="1" t="s">
        <v>752</v>
      </c>
      <c r="D5" s="1">
        <v>6800</v>
      </c>
      <c r="E5" s="10">
        <v>0</v>
      </c>
      <c r="F5" s="10">
        <v>-2800</v>
      </c>
      <c r="G5" s="10"/>
      <c r="H5" s="30"/>
      <c r="I5" s="30"/>
      <c r="J5" s="30"/>
    </row>
    <row r="6" spans="1:10" ht="15" x14ac:dyDescent="0.2">
      <c r="A6" s="1"/>
      <c r="B6" s="1"/>
      <c r="C6" s="1" t="s">
        <v>716</v>
      </c>
      <c r="D6" s="1">
        <v>5412</v>
      </c>
      <c r="E6" s="10">
        <v>0</v>
      </c>
      <c r="F6" s="10">
        <v>-3000</v>
      </c>
      <c r="G6" s="10"/>
      <c r="H6" s="30"/>
      <c r="I6" s="30"/>
      <c r="J6" s="30"/>
    </row>
    <row r="7" spans="1:10" ht="15" x14ac:dyDescent="0.2">
      <c r="A7" s="1"/>
      <c r="B7" s="25"/>
      <c r="C7" s="1" t="s">
        <v>753</v>
      </c>
      <c r="D7" s="1">
        <v>5010</v>
      </c>
      <c r="E7" s="10">
        <v>0</v>
      </c>
      <c r="F7" s="10">
        <v>-5600</v>
      </c>
      <c r="G7" s="10"/>
      <c r="H7" s="30"/>
      <c r="I7" s="30"/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30"/>
      <c r="I8" s="30"/>
      <c r="J8" s="30"/>
    </row>
    <row r="9" spans="1:10" ht="15" x14ac:dyDescent="0.2">
      <c r="A9" s="1"/>
      <c r="B9" s="1"/>
      <c r="C9" s="25" t="s">
        <v>80</v>
      </c>
      <c r="D9" s="1"/>
      <c r="E9" s="10">
        <f t="shared" ref="E9:F9" si="0">SUM(E4:E7)</f>
        <v>0</v>
      </c>
      <c r="F9" s="10">
        <f t="shared" si="0"/>
        <v>-25800</v>
      </c>
      <c r="G9" s="10">
        <f>E9+F9</f>
        <v>-25800</v>
      </c>
      <c r="H9" s="30"/>
      <c r="I9" s="30"/>
      <c r="J9" s="30"/>
    </row>
    <row r="10" spans="1:10" ht="15" x14ac:dyDescent="0.2">
      <c r="A10" s="1"/>
      <c r="B10" s="1"/>
      <c r="C10" s="1"/>
      <c r="D10" s="1"/>
      <c r="E10" s="10"/>
      <c r="F10" s="10"/>
      <c r="G10" s="10"/>
      <c r="H10" s="30"/>
      <c r="I10" s="30"/>
      <c r="J10" s="30"/>
    </row>
    <row r="11" spans="1:10" ht="15" x14ac:dyDescent="0.2">
      <c r="A11" s="1"/>
      <c r="B11" s="25" t="s">
        <v>81</v>
      </c>
      <c r="C11" s="1"/>
      <c r="D11" s="1"/>
      <c r="E11" s="10"/>
      <c r="F11" s="10"/>
      <c r="G11" s="10"/>
      <c r="H11" s="30"/>
      <c r="I11" s="30"/>
      <c r="J11" s="30"/>
    </row>
    <row r="12" spans="1:10" ht="15" x14ac:dyDescent="0.2">
      <c r="A12" s="1"/>
      <c r="B12" s="1"/>
      <c r="C12" s="1" t="s">
        <v>85</v>
      </c>
      <c r="D12" s="1">
        <v>4044</v>
      </c>
      <c r="E12" s="10">
        <v>0</v>
      </c>
      <c r="F12" s="10">
        <v>-6000</v>
      </c>
      <c r="G12" s="10"/>
      <c r="H12" s="30"/>
      <c r="I12" s="30" t="s">
        <v>754</v>
      </c>
      <c r="J12" s="30"/>
    </row>
    <row r="13" spans="1:10" ht="15" x14ac:dyDescent="0.2">
      <c r="A13" s="1"/>
      <c r="B13" s="1"/>
      <c r="C13" s="1" t="s">
        <v>84</v>
      </c>
      <c r="D13" s="1">
        <v>3044</v>
      </c>
      <c r="E13" s="10">
        <v>3000</v>
      </c>
      <c r="F13" s="10">
        <v>0</v>
      </c>
      <c r="G13" s="10"/>
      <c r="H13" s="30"/>
      <c r="I13" s="30"/>
      <c r="J13" s="30"/>
    </row>
    <row r="14" spans="1:10" ht="15" x14ac:dyDescent="0.2">
      <c r="A14" s="1"/>
      <c r="B14" s="1"/>
      <c r="C14" s="1" t="s">
        <v>83</v>
      </c>
      <c r="D14" s="1">
        <v>7691</v>
      </c>
      <c r="E14" s="10">
        <v>0</v>
      </c>
      <c r="F14" s="10">
        <v>-2400</v>
      </c>
      <c r="G14" s="10"/>
      <c r="H14" s="30"/>
      <c r="I14" s="30"/>
      <c r="J14" s="30"/>
    </row>
    <row r="15" spans="1:10" ht="15" x14ac:dyDescent="0.2">
      <c r="A15" s="1"/>
      <c r="B15" s="1"/>
      <c r="C15" s="1"/>
      <c r="D15" s="1"/>
      <c r="E15" s="10"/>
      <c r="F15" s="10"/>
      <c r="G15" s="10"/>
      <c r="H15" s="30"/>
      <c r="I15" s="30"/>
      <c r="J15" s="30"/>
    </row>
    <row r="16" spans="1:10" ht="15" x14ac:dyDescent="0.2">
      <c r="A16" s="1"/>
      <c r="B16" s="1"/>
      <c r="C16" s="1"/>
      <c r="D16" s="1"/>
      <c r="E16" s="10"/>
      <c r="F16" s="10"/>
      <c r="G16" s="10"/>
      <c r="H16" s="30"/>
      <c r="I16" s="30"/>
      <c r="J16" s="30"/>
    </row>
    <row r="17" spans="1:10" ht="15" x14ac:dyDescent="0.2">
      <c r="A17" s="1"/>
      <c r="B17" s="1"/>
      <c r="C17" s="136" t="s">
        <v>80</v>
      </c>
      <c r="D17" s="30"/>
      <c r="E17" s="10">
        <f t="shared" ref="E17:F17" si="1">SUM(E12:E15)</f>
        <v>3000</v>
      </c>
      <c r="F17" s="10">
        <f t="shared" si="1"/>
        <v>-8400</v>
      </c>
      <c r="G17" s="10">
        <f>E17+F17</f>
        <v>-5400</v>
      </c>
      <c r="H17" s="30"/>
      <c r="I17" s="30"/>
      <c r="J17" s="30"/>
    </row>
    <row r="18" spans="1:10" ht="15.75" customHeight="1" x14ac:dyDescent="0.15">
      <c r="E18" s="33"/>
      <c r="F18" s="33"/>
      <c r="G18" s="33"/>
    </row>
    <row r="19" spans="1:10" ht="14" x14ac:dyDescent="0.2">
      <c r="C19" s="25" t="s">
        <v>102</v>
      </c>
      <c r="D19" s="1"/>
      <c r="E19" s="8">
        <f t="shared" ref="E19:F19" si="2">SUMIFS(E2:E18,$C2:$C18,"Subsubtotal")</f>
        <v>3000</v>
      </c>
      <c r="F19" s="31">
        <f t="shared" si="2"/>
        <v>-34200</v>
      </c>
      <c r="G19" s="10">
        <f>SUM(G2:G18)</f>
        <v>-31200</v>
      </c>
    </row>
    <row r="20" spans="1:10" ht="15.75" customHeight="1" x14ac:dyDescent="0.15">
      <c r="E20" s="33"/>
      <c r="F20" s="33"/>
      <c r="G20" s="33"/>
    </row>
  </sheetData>
  <conditionalFormatting sqref="E2:G20">
    <cfRule type="cellIs" dxfId="26" priority="1" operator="greaterThan">
      <formula>0</formula>
    </cfRule>
    <cfRule type="cellIs" dxfId="25" priority="2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42"/>
  <sheetViews>
    <sheetView workbookViewId="0">
      <pane ySplit="1" topLeftCell="A2" activePane="bottomLeft" state="frozen"/>
      <selection pane="bottomLeft" activeCell="B15" sqref="B15"/>
    </sheetView>
  </sheetViews>
  <sheetFormatPr baseColWidth="10" defaultColWidth="12.6640625" defaultRowHeight="15.75" customHeight="1" x14ac:dyDescent="0.15"/>
  <cols>
    <col min="1" max="1" width="15.1640625" customWidth="1"/>
    <col min="2" max="2" width="28" customWidth="1"/>
    <col min="3" max="3" width="21" customWidth="1"/>
    <col min="7" max="7" width="14.1640625" customWidth="1"/>
    <col min="8" max="9" width="37.66406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137" t="s">
        <v>74</v>
      </c>
      <c r="E1" s="27" t="s">
        <v>5</v>
      </c>
      <c r="F1" s="27" t="s">
        <v>6</v>
      </c>
      <c r="G1" s="27" t="s">
        <v>75</v>
      </c>
      <c r="H1" s="26" t="s">
        <v>2</v>
      </c>
      <c r="I1" s="26" t="s">
        <v>625</v>
      </c>
    </row>
    <row r="2" spans="1:9" ht="15.75" customHeight="1" x14ac:dyDescent="0.2">
      <c r="A2" s="25" t="s">
        <v>56</v>
      </c>
      <c r="B2" s="1"/>
      <c r="C2" s="1"/>
      <c r="D2" s="77"/>
      <c r="E2" s="54"/>
      <c r="F2" s="54"/>
      <c r="G2" s="91"/>
      <c r="H2" s="91"/>
      <c r="I2" s="1"/>
    </row>
    <row r="3" spans="1:9" ht="15.75" customHeight="1" x14ac:dyDescent="0.2">
      <c r="A3" s="1" t="s">
        <v>865</v>
      </c>
      <c r="B3" s="25" t="s">
        <v>77</v>
      </c>
      <c r="C3" s="1"/>
      <c r="D3" s="77"/>
      <c r="E3" s="54"/>
      <c r="F3" s="54"/>
      <c r="G3" s="91"/>
      <c r="H3" s="91"/>
      <c r="I3" s="1"/>
    </row>
    <row r="4" spans="1:9" ht="15.75" customHeight="1" x14ac:dyDescent="0.2">
      <c r="A4" s="1"/>
      <c r="B4" s="1"/>
      <c r="C4" s="1" t="s">
        <v>82</v>
      </c>
      <c r="D4" s="134" t="s">
        <v>641</v>
      </c>
      <c r="E4" s="71">
        <v>0</v>
      </c>
      <c r="F4" s="71">
        <v>-1750</v>
      </c>
      <c r="G4" s="91"/>
      <c r="H4" s="91"/>
      <c r="I4" s="1"/>
    </row>
    <row r="5" spans="1:9" ht="15.75" customHeight="1" x14ac:dyDescent="0.2">
      <c r="A5" s="1"/>
      <c r="B5" s="1"/>
      <c r="C5" s="1" t="s">
        <v>261</v>
      </c>
      <c r="D5" s="134" t="s">
        <v>262</v>
      </c>
      <c r="E5" s="71">
        <v>0</v>
      </c>
      <c r="F5" s="71">
        <v>-1131</v>
      </c>
      <c r="G5" s="91"/>
      <c r="H5" s="91"/>
      <c r="I5" s="1" t="s">
        <v>755</v>
      </c>
    </row>
    <row r="6" spans="1:9" ht="15.75" customHeight="1" x14ac:dyDescent="0.2">
      <c r="A6" s="1"/>
      <c r="B6" s="1"/>
      <c r="C6" s="1" t="s">
        <v>616</v>
      </c>
      <c r="D6" s="134" t="s">
        <v>756</v>
      </c>
      <c r="E6" s="71">
        <v>0</v>
      </c>
      <c r="F6" s="71">
        <v>-1500</v>
      </c>
      <c r="G6" s="91"/>
      <c r="H6" s="91"/>
      <c r="I6" s="1"/>
    </row>
    <row r="7" spans="1:9" ht="16.5" customHeight="1" x14ac:dyDescent="0.2">
      <c r="A7" s="1"/>
      <c r="B7" s="1"/>
      <c r="C7" s="1" t="s">
        <v>83</v>
      </c>
      <c r="D7" s="134" t="s">
        <v>631</v>
      </c>
      <c r="E7" s="71">
        <v>0</v>
      </c>
      <c r="F7" s="71">
        <v>-840</v>
      </c>
      <c r="G7" s="91"/>
      <c r="H7" s="91"/>
      <c r="I7" s="1" t="s">
        <v>757</v>
      </c>
    </row>
    <row r="8" spans="1:9" ht="15.75" customHeight="1" x14ac:dyDescent="0.2">
      <c r="A8" s="1"/>
      <c r="B8" s="1"/>
      <c r="C8" s="1"/>
      <c r="D8" s="77"/>
      <c r="E8" s="54"/>
      <c r="F8" s="54"/>
      <c r="G8" s="91"/>
      <c r="H8" s="91"/>
      <c r="I8" s="1"/>
    </row>
    <row r="9" spans="1:9" ht="15.75" customHeight="1" x14ac:dyDescent="0.2">
      <c r="A9" s="1"/>
      <c r="B9" s="1"/>
      <c r="C9" s="1" t="s">
        <v>80</v>
      </c>
      <c r="D9" s="134"/>
      <c r="E9" s="71">
        <f t="shared" ref="E9:F9" si="0">SUM(E4:E7)</f>
        <v>0</v>
      </c>
      <c r="F9" s="71">
        <f t="shared" si="0"/>
        <v>-5221</v>
      </c>
      <c r="G9" s="138">
        <f>SUM(E9:F9)</f>
        <v>-5221</v>
      </c>
      <c r="H9" s="139" t="s">
        <v>758</v>
      </c>
      <c r="I9" s="1"/>
    </row>
    <row r="10" spans="1:9" ht="15" customHeight="1" x14ac:dyDescent="0.2">
      <c r="A10" s="1"/>
      <c r="B10" s="1"/>
      <c r="C10" s="1"/>
      <c r="D10" s="77"/>
      <c r="E10" s="54"/>
      <c r="F10" s="54"/>
      <c r="G10" s="91"/>
      <c r="H10" s="91"/>
      <c r="I10" s="1"/>
    </row>
    <row r="11" spans="1:9" ht="15.75" customHeight="1" x14ac:dyDescent="0.2">
      <c r="A11" s="1"/>
      <c r="B11" s="25" t="s">
        <v>759</v>
      </c>
      <c r="C11" s="1"/>
      <c r="D11" s="77"/>
      <c r="E11" s="54"/>
      <c r="F11" s="54"/>
      <c r="G11" s="91"/>
      <c r="H11" s="91"/>
      <c r="I11" s="1"/>
    </row>
    <row r="12" spans="1:9" ht="15.75" customHeight="1" x14ac:dyDescent="0.2">
      <c r="A12" s="1"/>
      <c r="B12" s="1"/>
      <c r="C12" s="1" t="s">
        <v>88</v>
      </c>
      <c r="D12" s="134" t="s">
        <v>89</v>
      </c>
      <c r="E12" s="71">
        <v>104970</v>
      </c>
      <c r="F12" s="71">
        <v>0</v>
      </c>
      <c r="G12" s="91"/>
      <c r="H12" s="91" t="s">
        <v>760</v>
      </c>
      <c r="I12" s="1" t="s">
        <v>761</v>
      </c>
    </row>
    <row r="13" spans="1:9" ht="15.75" customHeight="1" x14ac:dyDescent="0.2">
      <c r="A13" s="1"/>
      <c r="B13" s="1"/>
      <c r="C13" s="1" t="s">
        <v>151</v>
      </c>
      <c r="D13" s="134" t="s">
        <v>627</v>
      </c>
      <c r="E13" s="71">
        <v>0</v>
      </c>
      <c r="F13" s="71">
        <v>-36000</v>
      </c>
      <c r="G13" s="91"/>
      <c r="H13" s="91" t="s">
        <v>762</v>
      </c>
      <c r="I13" s="1"/>
    </row>
    <row r="14" spans="1:9" ht="15.75" customHeight="1" x14ac:dyDescent="0.2">
      <c r="A14" s="1"/>
      <c r="B14" s="1"/>
      <c r="C14" s="1" t="s">
        <v>425</v>
      </c>
      <c r="D14" s="134" t="s">
        <v>763</v>
      </c>
      <c r="E14" s="71">
        <v>0</v>
      </c>
      <c r="F14" s="71">
        <v>-8000</v>
      </c>
      <c r="G14" s="91"/>
      <c r="H14" s="91"/>
      <c r="I14" s="1" t="s">
        <v>764</v>
      </c>
    </row>
    <row r="15" spans="1:9" ht="15.75" customHeight="1" x14ac:dyDescent="0.2">
      <c r="A15" s="1"/>
      <c r="B15" s="1"/>
      <c r="C15" s="1" t="s">
        <v>765</v>
      </c>
      <c r="D15" s="134" t="s">
        <v>766</v>
      </c>
      <c r="E15" s="71">
        <v>0</v>
      </c>
      <c r="F15" s="71">
        <v>-8700</v>
      </c>
      <c r="G15" s="91"/>
      <c r="H15" s="91"/>
      <c r="I15" s="1"/>
    </row>
    <row r="16" spans="1:9" ht="15.75" customHeight="1" x14ac:dyDescent="0.2">
      <c r="A16" s="1"/>
      <c r="B16" s="1"/>
      <c r="C16" s="1" t="s">
        <v>94</v>
      </c>
      <c r="D16" s="134" t="s">
        <v>603</v>
      </c>
      <c r="E16" s="71">
        <v>0</v>
      </c>
      <c r="F16" s="71">
        <v>-80000</v>
      </c>
      <c r="G16" s="91"/>
      <c r="H16" s="91"/>
      <c r="I16" s="1" t="s">
        <v>767</v>
      </c>
    </row>
    <row r="17" spans="1:9" ht="15.75" customHeight="1" x14ac:dyDescent="0.2">
      <c r="A17" s="1"/>
      <c r="B17" s="1"/>
      <c r="C17" s="1" t="s">
        <v>768</v>
      </c>
      <c r="D17" s="134" t="s">
        <v>769</v>
      </c>
      <c r="E17" s="71">
        <v>0</v>
      </c>
      <c r="F17" s="71">
        <v>-4000</v>
      </c>
      <c r="G17" s="91"/>
      <c r="H17" s="91"/>
      <c r="I17" s="1"/>
    </row>
    <row r="18" spans="1:9" ht="15.75" customHeight="1" x14ac:dyDescent="0.2">
      <c r="A18" s="1"/>
      <c r="B18" s="1"/>
      <c r="C18" s="1" t="s">
        <v>770</v>
      </c>
      <c r="D18" s="134" t="s">
        <v>771</v>
      </c>
      <c r="E18" s="71">
        <v>0</v>
      </c>
      <c r="F18" s="71">
        <v>-20000</v>
      </c>
      <c r="G18" s="91"/>
      <c r="H18" s="91"/>
      <c r="I18" s="1"/>
    </row>
    <row r="19" spans="1:9" ht="15.75" customHeight="1" x14ac:dyDescent="0.2">
      <c r="A19" s="1"/>
      <c r="B19" s="1"/>
      <c r="C19" s="1" t="s">
        <v>96</v>
      </c>
      <c r="D19" s="134" t="s">
        <v>699</v>
      </c>
      <c r="E19" s="71">
        <v>0</v>
      </c>
      <c r="F19" s="71">
        <v>-6000</v>
      </c>
      <c r="G19" s="91"/>
      <c r="H19" s="91"/>
      <c r="I19" s="1" t="s">
        <v>772</v>
      </c>
    </row>
    <row r="20" spans="1:9" ht="15.75" customHeight="1" x14ac:dyDescent="0.2">
      <c r="A20" s="1"/>
      <c r="B20" s="1"/>
      <c r="C20" s="1" t="s">
        <v>99</v>
      </c>
      <c r="D20" s="134" t="s">
        <v>681</v>
      </c>
      <c r="E20" s="71">
        <v>0</v>
      </c>
      <c r="F20" s="71">
        <v>-2300</v>
      </c>
      <c r="G20" s="91"/>
      <c r="H20" s="91"/>
      <c r="I20" s="1"/>
    </row>
    <row r="21" spans="1:9" ht="15.75" customHeight="1" x14ac:dyDescent="0.2">
      <c r="A21" s="1"/>
      <c r="B21" s="1"/>
      <c r="C21" s="1" t="s">
        <v>212</v>
      </c>
      <c r="D21" s="134" t="s">
        <v>694</v>
      </c>
      <c r="E21" s="71">
        <v>0</v>
      </c>
      <c r="F21" s="71">
        <v>-10000</v>
      </c>
      <c r="G21" s="91"/>
      <c r="H21" s="91"/>
      <c r="I21" s="1" t="s">
        <v>773</v>
      </c>
    </row>
    <row r="22" spans="1:9" ht="15.75" customHeight="1" x14ac:dyDescent="0.2">
      <c r="A22" s="1"/>
      <c r="B22" s="1"/>
      <c r="C22" s="1" t="s">
        <v>190</v>
      </c>
      <c r="D22" s="134" t="s">
        <v>663</v>
      </c>
      <c r="E22" s="71">
        <v>0</v>
      </c>
      <c r="F22" s="71">
        <v>-2500</v>
      </c>
      <c r="G22" s="91"/>
      <c r="H22" s="91"/>
      <c r="I22" s="1"/>
    </row>
    <row r="23" spans="1:9" ht="15.75" customHeight="1" x14ac:dyDescent="0.2">
      <c r="A23" s="1"/>
      <c r="B23" s="1"/>
      <c r="C23" s="1"/>
      <c r="D23" s="77"/>
      <c r="E23" s="54"/>
      <c r="F23" s="54"/>
      <c r="G23" s="91"/>
      <c r="H23" s="91"/>
      <c r="I23" s="1"/>
    </row>
    <row r="24" spans="1:9" ht="15.75" customHeight="1" x14ac:dyDescent="0.2">
      <c r="A24" s="1"/>
      <c r="B24" s="1"/>
      <c r="C24" s="25" t="s">
        <v>80</v>
      </c>
      <c r="D24" s="134"/>
      <c r="E24" s="71">
        <f t="shared" ref="E24:F24" si="1">SUM(E12:E22)</f>
        <v>104970</v>
      </c>
      <c r="F24" s="71">
        <f t="shared" si="1"/>
        <v>-177500</v>
      </c>
      <c r="G24" s="138">
        <f>SUM(E24:F24)</f>
        <v>-72530</v>
      </c>
      <c r="H24" s="91"/>
      <c r="I24" s="1"/>
    </row>
    <row r="25" spans="1:9" ht="15.75" customHeight="1" x14ac:dyDescent="0.2">
      <c r="A25" s="1"/>
      <c r="B25" s="25"/>
      <c r="C25" s="1"/>
      <c r="D25" s="77"/>
      <c r="E25" s="54"/>
      <c r="F25" s="54"/>
      <c r="G25" s="91"/>
      <c r="H25" s="91"/>
      <c r="I25" s="1"/>
    </row>
    <row r="26" spans="1:9" ht="15.75" customHeight="1" x14ac:dyDescent="0.2">
      <c r="A26" s="1"/>
      <c r="B26" s="25" t="s">
        <v>774</v>
      </c>
      <c r="C26" s="1"/>
      <c r="D26" s="77"/>
      <c r="E26" s="54"/>
      <c r="F26" s="54"/>
      <c r="G26" s="91"/>
      <c r="H26" s="91"/>
      <c r="I26" s="1"/>
    </row>
    <row r="27" spans="1:9" ht="15.75" customHeight="1" x14ac:dyDescent="0.2">
      <c r="A27" s="1"/>
      <c r="B27" s="1"/>
      <c r="C27" s="1" t="s">
        <v>775</v>
      </c>
      <c r="D27" s="134" t="s">
        <v>627</v>
      </c>
      <c r="E27" s="71">
        <v>0</v>
      </c>
      <c r="F27" s="71">
        <v>-3600</v>
      </c>
      <c r="G27" s="91"/>
      <c r="H27" s="91"/>
      <c r="I27" s="1"/>
    </row>
    <row r="28" spans="1:9" ht="15.75" customHeight="1" x14ac:dyDescent="0.2">
      <c r="A28" s="1"/>
      <c r="B28" s="1"/>
      <c r="C28" s="1" t="s">
        <v>96</v>
      </c>
      <c r="D28" s="134" t="s">
        <v>699</v>
      </c>
      <c r="E28" s="71">
        <v>0</v>
      </c>
      <c r="F28" s="71">
        <v>-300</v>
      </c>
      <c r="G28" s="91"/>
      <c r="H28" s="91"/>
      <c r="I28" s="1"/>
    </row>
    <row r="29" spans="1:9" ht="15.75" customHeight="1" x14ac:dyDescent="0.2">
      <c r="A29" s="1"/>
      <c r="B29" s="1"/>
      <c r="C29" s="1" t="s">
        <v>99</v>
      </c>
      <c r="D29" s="134" t="s">
        <v>681</v>
      </c>
      <c r="E29" s="71">
        <v>0</v>
      </c>
      <c r="F29" s="71">
        <v>-1400</v>
      </c>
      <c r="G29" s="91"/>
      <c r="H29" s="91"/>
      <c r="I29" s="1"/>
    </row>
    <row r="30" spans="1:9" ht="15.75" customHeight="1" x14ac:dyDescent="0.2">
      <c r="A30" s="1"/>
      <c r="B30" s="1"/>
      <c r="C30" s="1" t="s">
        <v>94</v>
      </c>
      <c r="D30" s="134" t="s">
        <v>603</v>
      </c>
      <c r="E30" s="71">
        <v>0</v>
      </c>
      <c r="F30" s="71">
        <v>-3000</v>
      </c>
      <c r="G30" s="91"/>
      <c r="H30" s="91"/>
      <c r="I30" s="1"/>
    </row>
    <row r="31" spans="1:9" ht="15.75" customHeight="1" x14ac:dyDescent="0.2">
      <c r="A31" s="1"/>
      <c r="B31" s="1"/>
      <c r="C31" s="1" t="s">
        <v>238</v>
      </c>
      <c r="D31" s="134" t="s">
        <v>708</v>
      </c>
      <c r="E31" s="71">
        <v>8300</v>
      </c>
      <c r="F31" s="71">
        <v>0</v>
      </c>
      <c r="G31" s="91"/>
      <c r="H31" s="91"/>
      <c r="I31" s="1" t="s">
        <v>776</v>
      </c>
    </row>
    <row r="32" spans="1:9" ht="15.75" customHeight="1" x14ac:dyDescent="0.2">
      <c r="A32" s="1"/>
      <c r="B32" s="1"/>
      <c r="C32" s="1"/>
      <c r="D32" s="77"/>
      <c r="E32" s="54"/>
      <c r="F32" s="54"/>
      <c r="G32" s="91"/>
      <c r="H32" s="91"/>
      <c r="I32" s="1"/>
    </row>
    <row r="33" spans="1:9" ht="15.75" customHeight="1" x14ac:dyDescent="0.2">
      <c r="A33" s="1"/>
      <c r="B33" s="1"/>
      <c r="C33" s="1" t="s">
        <v>80</v>
      </c>
      <c r="D33" s="134"/>
      <c r="E33" s="71">
        <f t="shared" ref="E33:F33" si="2">SUM(E27:E31)</f>
        <v>8300</v>
      </c>
      <c r="F33" s="71">
        <f t="shared" si="2"/>
        <v>-8300</v>
      </c>
      <c r="G33" s="138">
        <f>SUM(E33:F33)</f>
        <v>0</v>
      </c>
      <c r="H33" s="91"/>
      <c r="I33" s="1"/>
    </row>
    <row r="34" spans="1:9" ht="15.75" customHeight="1" x14ac:dyDescent="0.2">
      <c r="A34" s="1"/>
      <c r="B34" s="1"/>
      <c r="C34" s="1"/>
      <c r="D34" s="77"/>
      <c r="E34" s="54"/>
      <c r="F34" s="54"/>
      <c r="G34" s="91"/>
      <c r="H34" s="91"/>
      <c r="I34" s="1"/>
    </row>
    <row r="35" spans="1:9" ht="15.75" customHeight="1" x14ac:dyDescent="0.2">
      <c r="A35" s="1"/>
      <c r="B35" s="25" t="s">
        <v>777</v>
      </c>
      <c r="C35" s="1"/>
      <c r="D35" s="77"/>
      <c r="E35" s="54"/>
      <c r="F35" s="54"/>
      <c r="G35" s="91"/>
      <c r="H35" s="91"/>
      <c r="I35" s="1"/>
    </row>
    <row r="36" spans="1:9" ht="15.75" customHeight="1" x14ac:dyDescent="0.2">
      <c r="A36" s="1"/>
      <c r="B36" s="1"/>
      <c r="C36" s="1" t="s">
        <v>267</v>
      </c>
      <c r="D36" s="134" t="s">
        <v>179</v>
      </c>
      <c r="E36" s="71">
        <v>0</v>
      </c>
      <c r="F36" s="71">
        <v>-6000</v>
      </c>
      <c r="G36" s="91"/>
      <c r="H36" s="91"/>
      <c r="I36" s="1"/>
    </row>
    <row r="37" spans="1:9" ht="15.75" customHeight="1" x14ac:dyDescent="0.2">
      <c r="A37" s="1"/>
      <c r="B37" s="1"/>
      <c r="C37" s="1" t="s">
        <v>328</v>
      </c>
      <c r="D37" s="134" t="s">
        <v>92</v>
      </c>
      <c r="E37" s="71">
        <v>8000</v>
      </c>
      <c r="F37" s="71">
        <v>0</v>
      </c>
      <c r="G37" s="91"/>
      <c r="H37" s="91"/>
      <c r="I37" s="1"/>
    </row>
    <row r="38" spans="1:9" ht="15.75" customHeight="1" x14ac:dyDescent="0.2">
      <c r="A38" s="1"/>
      <c r="B38" s="1"/>
      <c r="C38" s="1" t="s">
        <v>175</v>
      </c>
      <c r="D38" s="134" t="s">
        <v>704</v>
      </c>
      <c r="E38" s="71">
        <v>0</v>
      </c>
      <c r="F38" s="71">
        <v>-1700</v>
      </c>
      <c r="G38" s="91"/>
      <c r="H38" s="91"/>
      <c r="I38" s="1"/>
    </row>
    <row r="39" spans="1:9" ht="15.75" customHeight="1" x14ac:dyDescent="0.2">
      <c r="A39" s="1"/>
      <c r="B39" s="1"/>
      <c r="C39" s="1"/>
      <c r="D39" s="77"/>
      <c r="E39" s="54"/>
      <c r="F39" s="54"/>
      <c r="G39" s="91"/>
      <c r="H39" s="91"/>
      <c r="I39" s="1"/>
    </row>
    <row r="40" spans="1:9" ht="15.75" customHeight="1" x14ac:dyDescent="0.2">
      <c r="A40" s="1"/>
      <c r="B40" s="1"/>
      <c r="C40" s="1" t="s">
        <v>80</v>
      </c>
      <c r="D40" s="134"/>
      <c r="E40" s="71">
        <f>SUM(E37:E38)</f>
        <v>8000</v>
      </c>
      <c r="F40" s="71">
        <f>SUM(F36:F38)</f>
        <v>-7700</v>
      </c>
      <c r="G40" s="138">
        <f>SUM(E40:F40)</f>
        <v>300</v>
      </c>
      <c r="H40" s="91"/>
      <c r="I40" s="1"/>
    </row>
    <row r="41" spans="1:9" ht="15.75" customHeight="1" x14ac:dyDescent="0.2">
      <c r="A41" s="1"/>
      <c r="B41" s="1"/>
      <c r="C41" s="1"/>
      <c r="D41" s="77"/>
      <c r="E41" s="54"/>
      <c r="F41" s="54"/>
      <c r="G41" s="91"/>
      <c r="H41" s="91"/>
      <c r="I41" s="1"/>
    </row>
    <row r="42" spans="1:9" ht="15.75" customHeight="1" x14ac:dyDescent="0.2">
      <c r="A42" s="1"/>
      <c r="B42" s="1"/>
      <c r="C42" s="25" t="s">
        <v>102</v>
      </c>
      <c r="D42" s="140"/>
      <c r="E42" s="71">
        <f>SUMIFS(E6:E41,C6:C41,"Subsubtotal")</f>
        <v>121270</v>
      </c>
      <c r="F42" s="71">
        <f>SUMIFS(F6:F41,C6:C41,"Subsubtotal")</f>
        <v>-198721</v>
      </c>
      <c r="G42" s="138">
        <f>SUM(E42:F42)</f>
        <v>-77451</v>
      </c>
      <c r="H42" s="91"/>
      <c r="I42" s="1"/>
    </row>
  </sheetData>
  <conditionalFormatting sqref="E1:E42 D2:D42">
    <cfRule type="cellIs" dxfId="24" priority="1" operator="greaterThan">
      <formula>0</formula>
    </cfRule>
  </conditionalFormatting>
  <conditionalFormatting sqref="F1:G42">
    <cfRule type="cellIs" dxfId="23" priority="2" operator="lessThan">
      <formula>0</formula>
    </cfRule>
  </conditionalFormatting>
  <conditionalFormatting sqref="G1:G42">
    <cfRule type="cellIs" dxfId="22" priority="4" operator="greaterThan">
      <formula>0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J41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3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59</v>
      </c>
      <c r="B2" s="28"/>
      <c r="C2" s="28"/>
      <c r="D2" s="28"/>
      <c r="E2" s="29"/>
      <c r="F2" s="29"/>
      <c r="G2" s="29"/>
    </row>
    <row r="3" spans="1:10" ht="15" x14ac:dyDescent="0.2">
      <c r="A3" s="1" t="s">
        <v>58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778</v>
      </c>
      <c r="D4" s="77" t="s">
        <v>779</v>
      </c>
      <c r="E4" s="62">
        <v>50000</v>
      </c>
      <c r="F4" s="62">
        <v>0</v>
      </c>
      <c r="G4" s="10"/>
      <c r="H4" s="30"/>
      <c r="I4" s="30"/>
      <c r="J4" s="30"/>
    </row>
    <row r="5" spans="1:10" ht="15" x14ac:dyDescent="0.2">
      <c r="A5" s="1"/>
      <c r="B5" s="1"/>
      <c r="C5" s="1" t="s">
        <v>780</v>
      </c>
      <c r="D5" s="77" t="s">
        <v>643</v>
      </c>
      <c r="E5" s="62">
        <f>160000+26000+9000+9000</f>
        <v>204000</v>
      </c>
      <c r="F5" s="62">
        <v>0</v>
      </c>
      <c r="G5" s="10"/>
      <c r="H5" s="30"/>
      <c r="I5" s="30"/>
      <c r="J5" s="30"/>
    </row>
    <row r="6" spans="1:10" ht="15" x14ac:dyDescent="0.2">
      <c r="A6" s="1"/>
      <c r="B6" s="1"/>
      <c r="C6" s="1" t="s">
        <v>781</v>
      </c>
      <c r="D6" s="77" t="s">
        <v>782</v>
      </c>
      <c r="E6" s="62">
        <v>0</v>
      </c>
      <c r="F6" s="62">
        <v>0</v>
      </c>
      <c r="G6" s="10"/>
      <c r="H6" s="30"/>
      <c r="I6" s="30"/>
      <c r="J6" s="30"/>
    </row>
    <row r="7" spans="1:10" ht="15" x14ac:dyDescent="0.2">
      <c r="A7" s="1"/>
      <c r="B7" s="1"/>
      <c r="C7" s="1" t="s">
        <v>783</v>
      </c>
      <c r="D7" s="77" t="s">
        <v>784</v>
      </c>
      <c r="E7" s="62">
        <v>0</v>
      </c>
      <c r="F7" s="62">
        <v>-40000</v>
      </c>
      <c r="G7" s="10"/>
      <c r="H7" s="30"/>
      <c r="I7" s="30"/>
      <c r="J7" s="30"/>
    </row>
    <row r="8" spans="1:10" ht="15" x14ac:dyDescent="0.2">
      <c r="A8" s="1"/>
      <c r="B8" s="1"/>
      <c r="C8" s="1" t="s">
        <v>785</v>
      </c>
      <c r="D8" s="77" t="s">
        <v>786</v>
      </c>
      <c r="E8" s="62">
        <v>0</v>
      </c>
      <c r="F8" s="62">
        <v>-15000</v>
      </c>
      <c r="G8" s="10"/>
      <c r="H8" s="30"/>
      <c r="I8" s="30"/>
      <c r="J8" s="30"/>
    </row>
    <row r="9" spans="1:10" ht="15" x14ac:dyDescent="0.2">
      <c r="A9" s="1"/>
      <c r="B9" s="1"/>
      <c r="C9" s="1" t="s">
        <v>787</v>
      </c>
      <c r="D9" s="77" t="s">
        <v>788</v>
      </c>
      <c r="E9" s="62">
        <v>0</v>
      </c>
      <c r="F9" s="62">
        <v>-45000</v>
      </c>
      <c r="G9" s="10"/>
      <c r="H9" s="30"/>
      <c r="I9" s="30"/>
      <c r="J9" s="30"/>
    </row>
    <row r="10" spans="1:10" ht="15" x14ac:dyDescent="0.2">
      <c r="A10" s="1"/>
      <c r="B10" s="25"/>
      <c r="C10" s="1" t="s">
        <v>789</v>
      </c>
      <c r="D10" s="77" t="s">
        <v>790</v>
      </c>
      <c r="E10" s="62">
        <v>0</v>
      </c>
      <c r="F10" s="62">
        <v>-35000</v>
      </c>
      <c r="G10" s="10"/>
      <c r="H10" s="30"/>
      <c r="I10" s="30"/>
      <c r="J10" s="30"/>
    </row>
    <row r="11" spans="1:10" ht="15" x14ac:dyDescent="0.2">
      <c r="A11" s="1"/>
      <c r="B11" s="1"/>
      <c r="C11" s="1" t="s">
        <v>791</v>
      </c>
      <c r="D11" s="77" t="s">
        <v>262</v>
      </c>
      <c r="E11" s="62">
        <v>0</v>
      </c>
      <c r="F11" s="62">
        <v>-10000</v>
      </c>
      <c r="G11" s="10"/>
      <c r="H11" s="30"/>
      <c r="I11" s="30"/>
      <c r="J11" s="30"/>
    </row>
    <row r="12" spans="1:10" ht="15" x14ac:dyDescent="0.2">
      <c r="A12" s="1"/>
      <c r="B12" s="1"/>
      <c r="C12" s="1" t="s">
        <v>792</v>
      </c>
      <c r="D12" s="77" t="s">
        <v>627</v>
      </c>
      <c r="E12" s="62">
        <v>0</v>
      </c>
      <c r="F12" s="62">
        <v>-86000</v>
      </c>
      <c r="G12" s="10"/>
      <c r="H12" s="30"/>
      <c r="I12" s="30" t="s">
        <v>793</v>
      </c>
      <c r="J12" s="30"/>
    </row>
    <row r="13" spans="1:10" ht="15" x14ac:dyDescent="0.2">
      <c r="A13" s="1"/>
      <c r="B13" s="1"/>
      <c r="C13" s="1" t="s">
        <v>794</v>
      </c>
      <c r="D13" s="77" t="s">
        <v>795</v>
      </c>
      <c r="E13" s="62">
        <v>0</v>
      </c>
      <c r="F13" s="62">
        <v>-30000</v>
      </c>
      <c r="G13" s="10"/>
      <c r="H13" s="30"/>
      <c r="I13" s="30"/>
      <c r="J13" s="30"/>
    </row>
    <row r="14" spans="1:10" ht="15" x14ac:dyDescent="0.2">
      <c r="A14" s="1"/>
      <c r="B14" s="1"/>
      <c r="C14" s="1" t="s">
        <v>796</v>
      </c>
      <c r="D14" s="77" t="s">
        <v>797</v>
      </c>
      <c r="E14" s="62">
        <v>0</v>
      </c>
      <c r="F14" s="62">
        <v>-15000</v>
      </c>
      <c r="G14" s="10"/>
      <c r="H14" s="30"/>
      <c r="I14" s="30"/>
      <c r="J14" s="30"/>
    </row>
    <row r="15" spans="1:10" ht="15" x14ac:dyDescent="0.2">
      <c r="A15" s="1"/>
      <c r="B15" s="1"/>
      <c r="C15" s="1" t="s">
        <v>300</v>
      </c>
      <c r="D15" s="77" t="s">
        <v>798</v>
      </c>
      <c r="E15" s="62">
        <v>0</v>
      </c>
      <c r="F15" s="62">
        <v>-3000</v>
      </c>
      <c r="G15" s="10"/>
      <c r="H15" s="30"/>
      <c r="I15" s="30"/>
      <c r="J15" s="30"/>
    </row>
    <row r="16" spans="1:10" ht="15" x14ac:dyDescent="0.2">
      <c r="A16" s="1"/>
      <c r="B16" s="1"/>
      <c r="C16" s="1" t="s">
        <v>613</v>
      </c>
      <c r="D16" s="77" t="s">
        <v>799</v>
      </c>
      <c r="E16" s="62">
        <v>0</v>
      </c>
      <c r="F16" s="62">
        <v>-350</v>
      </c>
      <c r="G16" s="10"/>
      <c r="H16" s="30"/>
      <c r="I16" s="30" t="s">
        <v>800</v>
      </c>
      <c r="J16" s="30"/>
    </row>
    <row r="17" spans="1:10" ht="15" x14ac:dyDescent="0.2">
      <c r="A17" s="1"/>
      <c r="B17" s="25"/>
      <c r="C17" s="1" t="s">
        <v>801</v>
      </c>
      <c r="D17" s="77"/>
      <c r="E17" s="62">
        <v>20000</v>
      </c>
      <c r="F17" s="62">
        <v>0</v>
      </c>
      <c r="G17" s="10"/>
      <c r="H17" s="30"/>
      <c r="I17" s="30" t="s">
        <v>802</v>
      </c>
      <c r="J17" s="30"/>
    </row>
    <row r="18" spans="1:10" ht="15" x14ac:dyDescent="0.2">
      <c r="A18" s="1"/>
      <c r="B18" s="1"/>
      <c r="C18" s="36"/>
      <c r="D18" s="1"/>
      <c r="E18" s="10"/>
      <c r="F18" s="10"/>
      <c r="G18" s="10"/>
      <c r="H18" s="30"/>
      <c r="I18" s="30"/>
      <c r="J18" s="30"/>
    </row>
    <row r="19" spans="1:10" ht="15" x14ac:dyDescent="0.2">
      <c r="A19" s="1"/>
      <c r="B19" s="1"/>
      <c r="C19" s="25" t="s">
        <v>80</v>
      </c>
      <c r="D19" s="1"/>
      <c r="E19" s="62">
        <f t="shared" ref="E19:F19" si="0">SUM(E2:E18)</f>
        <v>274000</v>
      </c>
      <c r="F19" s="62">
        <f t="shared" si="0"/>
        <v>-279350</v>
      </c>
      <c r="G19" s="62">
        <f>E19+F19</f>
        <v>-5350</v>
      </c>
      <c r="H19" s="30"/>
      <c r="I19" s="30"/>
      <c r="J19" s="30"/>
    </row>
    <row r="20" spans="1:10" ht="15" x14ac:dyDescent="0.2">
      <c r="A20" s="1"/>
      <c r="B20" s="1"/>
      <c r="C20" s="1"/>
      <c r="D20" s="1"/>
      <c r="E20" s="10"/>
      <c r="F20" s="10"/>
      <c r="G20" s="10"/>
      <c r="H20" s="30"/>
      <c r="I20" s="30"/>
      <c r="J20" s="30"/>
    </row>
    <row r="21" spans="1:10" ht="15" x14ac:dyDescent="0.2">
      <c r="A21" s="1"/>
      <c r="B21" s="25" t="s">
        <v>251</v>
      </c>
      <c r="C21" s="1"/>
      <c r="D21" s="1"/>
      <c r="E21" s="10"/>
      <c r="F21" s="10"/>
      <c r="G21" s="10"/>
      <c r="H21" s="30"/>
      <c r="I21" s="30"/>
      <c r="J21" s="30"/>
    </row>
    <row r="22" spans="1:10" ht="15" x14ac:dyDescent="0.2">
      <c r="A22" s="1"/>
      <c r="B22" s="1"/>
      <c r="C22" s="1" t="s">
        <v>94</v>
      </c>
      <c r="D22" s="1">
        <v>7692</v>
      </c>
      <c r="E22" s="10">
        <v>0</v>
      </c>
      <c r="F22" s="10">
        <v>-15000</v>
      </c>
      <c r="G22" s="10"/>
      <c r="H22" s="30"/>
      <c r="I22" s="30"/>
      <c r="J22" s="30"/>
    </row>
    <row r="23" spans="1:10" ht="15" x14ac:dyDescent="0.2">
      <c r="A23" s="1"/>
      <c r="B23" s="1"/>
      <c r="C23" s="1" t="s">
        <v>83</v>
      </c>
      <c r="D23" s="1">
        <v>7691</v>
      </c>
      <c r="E23" s="10">
        <v>0</v>
      </c>
      <c r="F23" s="10">
        <v>-2000</v>
      </c>
      <c r="G23" s="10"/>
      <c r="H23" s="1"/>
      <c r="I23" s="30"/>
      <c r="J23" s="30"/>
    </row>
    <row r="24" spans="1:10" ht="15" x14ac:dyDescent="0.2">
      <c r="A24" s="1"/>
      <c r="B24" s="1"/>
      <c r="C24" s="1" t="s">
        <v>803</v>
      </c>
      <c r="D24" s="1">
        <v>7610</v>
      </c>
      <c r="E24" s="10">
        <v>0</v>
      </c>
      <c r="F24" s="10">
        <v>-2000</v>
      </c>
      <c r="G24" s="10"/>
      <c r="H24" s="1"/>
      <c r="I24" s="30"/>
      <c r="J24" s="30"/>
    </row>
    <row r="25" spans="1:10" ht="15" x14ac:dyDescent="0.2">
      <c r="A25" s="1"/>
      <c r="B25" s="1"/>
      <c r="C25" s="1"/>
      <c r="D25" s="1"/>
      <c r="E25" s="10"/>
      <c r="F25" s="10"/>
      <c r="G25" s="10"/>
      <c r="H25" s="1"/>
      <c r="I25" s="30"/>
      <c r="J25" s="30"/>
    </row>
    <row r="26" spans="1:10" ht="15" x14ac:dyDescent="0.2">
      <c r="A26" s="1"/>
      <c r="B26" s="1"/>
      <c r="C26" s="25" t="s">
        <v>80</v>
      </c>
      <c r="D26" s="1"/>
      <c r="E26" s="10">
        <f t="shared" ref="E26:F26" si="1">SUM(E22:E24)</f>
        <v>0</v>
      </c>
      <c r="F26" s="10">
        <f t="shared" si="1"/>
        <v>-19000</v>
      </c>
      <c r="G26" s="10">
        <f>E26+F26</f>
        <v>-19000</v>
      </c>
      <c r="H26" s="1"/>
      <c r="I26" s="30"/>
      <c r="J26" s="30"/>
    </row>
    <row r="27" spans="1:10" ht="15" x14ac:dyDescent="0.2">
      <c r="A27" s="1"/>
      <c r="B27" s="25"/>
      <c r="C27" s="1"/>
      <c r="D27" s="1"/>
      <c r="E27" s="10"/>
      <c r="F27" s="10"/>
      <c r="G27" s="10"/>
      <c r="H27" s="1"/>
      <c r="I27" s="30"/>
      <c r="J27" s="30"/>
    </row>
    <row r="28" spans="1:10" ht="15" x14ac:dyDescent="0.2">
      <c r="A28" s="1"/>
      <c r="B28" s="25" t="s">
        <v>804</v>
      </c>
      <c r="C28" s="1"/>
      <c r="D28" s="1"/>
      <c r="E28" s="10"/>
      <c r="F28" s="10"/>
      <c r="G28" s="10"/>
      <c r="H28" s="1"/>
      <c r="I28" s="30"/>
      <c r="J28" s="30"/>
    </row>
    <row r="29" spans="1:10" ht="15" x14ac:dyDescent="0.2">
      <c r="A29" s="1"/>
      <c r="B29" s="1"/>
      <c r="C29" s="1" t="s">
        <v>805</v>
      </c>
      <c r="D29" s="1" t="s">
        <v>806</v>
      </c>
      <c r="E29" s="10">
        <v>0</v>
      </c>
      <c r="F29" s="10">
        <v>-55000</v>
      </c>
      <c r="G29" s="10"/>
      <c r="H29" s="1"/>
      <c r="I29" s="30"/>
      <c r="J29" s="30"/>
    </row>
    <row r="30" spans="1:10" ht="15" x14ac:dyDescent="0.2">
      <c r="A30" s="1"/>
      <c r="B30" s="1"/>
      <c r="C30" s="1" t="s">
        <v>83</v>
      </c>
      <c r="D30" s="1">
        <v>4045</v>
      </c>
      <c r="E30" s="10">
        <v>0</v>
      </c>
      <c r="F30" s="10">
        <v>-1500</v>
      </c>
      <c r="G30" s="10"/>
      <c r="H30" s="1"/>
      <c r="I30" s="30"/>
      <c r="J30" s="30"/>
    </row>
    <row r="31" spans="1:10" ht="15" x14ac:dyDescent="0.2">
      <c r="A31" s="1"/>
      <c r="B31" s="1"/>
      <c r="C31" s="1" t="s">
        <v>99</v>
      </c>
      <c r="D31" s="1">
        <v>4027</v>
      </c>
      <c r="E31" s="10">
        <v>0</v>
      </c>
      <c r="F31" s="10">
        <v>-1500</v>
      </c>
      <c r="G31" s="10"/>
      <c r="H31" s="1"/>
      <c r="I31" s="30"/>
      <c r="J31" s="30"/>
    </row>
    <row r="32" spans="1:10" ht="15" x14ac:dyDescent="0.2">
      <c r="A32" s="1"/>
      <c r="B32" s="1"/>
      <c r="C32" s="1"/>
      <c r="D32" s="1"/>
      <c r="E32" s="10"/>
      <c r="F32" s="10"/>
      <c r="G32" s="10"/>
      <c r="H32" s="1"/>
      <c r="I32" s="30"/>
      <c r="J32" s="30"/>
    </row>
    <row r="33" spans="1:10" ht="15" x14ac:dyDescent="0.2">
      <c r="A33" s="1"/>
      <c r="B33" s="1"/>
      <c r="C33" s="25" t="s">
        <v>80</v>
      </c>
      <c r="D33" s="1"/>
      <c r="E33" s="10">
        <f t="shared" ref="E33:F33" si="2">SUM(E29:E31)</f>
        <v>0</v>
      </c>
      <c r="F33" s="10">
        <f t="shared" si="2"/>
        <v>-58000</v>
      </c>
      <c r="G33" s="10">
        <f>E33+F33</f>
        <v>-58000</v>
      </c>
      <c r="H33" s="1"/>
      <c r="I33" s="30"/>
      <c r="J33" s="30"/>
    </row>
    <row r="34" spans="1:10" ht="14" x14ac:dyDescent="0.2">
      <c r="A34" s="1"/>
      <c r="B34" s="1"/>
      <c r="C34" s="1"/>
      <c r="D34" s="1"/>
      <c r="E34" s="10"/>
      <c r="F34" s="10"/>
      <c r="G34" s="10"/>
      <c r="H34" s="1"/>
    </row>
    <row r="35" spans="1:10" ht="14" x14ac:dyDescent="0.2">
      <c r="A35" s="1"/>
      <c r="B35" s="1"/>
      <c r="C35" s="25" t="s">
        <v>102</v>
      </c>
      <c r="D35" s="1"/>
      <c r="E35" s="62">
        <f t="shared" ref="E35:F35" si="3">SUMIFS(E2:E34,$C2:$C34,"Subsubtotal")</f>
        <v>274000</v>
      </c>
      <c r="F35" s="59">
        <f t="shared" si="3"/>
        <v>-356350</v>
      </c>
      <c r="G35" s="10">
        <f>SUM(G2:G34)</f>
        <v>-82350</v>
      </c>
      <c r="H35" s="1"/>
    </row>
    <row r="36" spans="1:10" ht="14" x14ac:dyDescent="0.2">
      <c r="A36" s="1"/>
      <c r="B36" s="1"/>
      <c r="C36" s="1"/>
      <c r="D36" s="1"/>
      <c r="E36" s="10"/>
      <c r="F36" s="10"/>
      <c r="G36" s="10"/>
      <c r="H36" s="1"/>
    </row>
    <row r="37" spans="1:10" ht="14" x14ac:dyDescent="0.2">
      <c r="A37" s="1"/>
      <c r="B37" s="25"/>
      <c r="C37" s="1"/>
      <c r="D37" s="1"/>
      <c r="E37" s="10"/>
      <c r="F37" s="10"/>
      <c r="G37" s="10"/>
      <c r="H37" s="1"/>
    </row>
    <row r="38" spans="1:10" ht="15" x14ac:dyDescent="0.2">
      <c r="B38" s="30"/>
      <c r="C38" s="30"/>
      <c r="D38" s="30"/>
      <c r="E38" s="10"/>
      <c r="F38" s="10"/>
      <c r="G38" s="10"/>
      <c r="H38" s="30"/>
    </row>
    <row r="39" spans="1:10" ht="15" x14ac:dyDescent="0.2">
      <c r="B39" s="30"/>
      <c r="C39" s="30"/>
      <c r="D39" s="30"/>
      <c r="E39" s="10"/>
      <c r="F39" s="10"/>
      <c r="G39" s="10"/>
      <c r="H39" s="30"/>
    </row>
    <row r="40" spans="1:10" ht="15" x14ac:dyDescent="0.2">
      <c r="B40" s="30"/>
      <c r="C40" s="30"/>
      <c r="D40" s="30"/>
      <c r="E40" s="10"/>
      <c r="F40" s="10"/>
      <c r="G40" s="10"/>
      <c r="H40" s="30"/>
    </row>
    <row r="41" spans="1:10" ht="15" x14ac:dyDescent="0.2">
      <c r="B41" s="30"/>
      <c r="C41" s="30"/>
      <c r="D41" s="30"/>
      <c r="E41" s="10"/>
      <c r="F41" s="10"/>
      <c r="G41" s="10"/>
      <c r="H41" s="30"/>
    </row>
  </sheetData>
  <conditionalFormatting sqref="E2:G41">
    <cfRule type="cellIs" dxfId="21" priority="1" operator="greaterThan">
      <formula>0</formula>
    </cfRule>
    <cfRule type="cellIs" dxfId="20" priority="2" operator="less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J25"/>
  <sheetViews>
    <sheetView workbookViewId="0"/>
  </sheetViews>
  <sheetFormatPr baseColWidth="10" defaultColWidth="12.6640625" defaultRowHeight="15.75" customHeight="1" x14ac:dyDescent="0.15"/>
  <cols>
    <col min="1" max="1" width="36.33203125" customWidth="1"/>
    <col min="2" max="2" width="25" customWidth="1"/>
    <col min="3" max="3" width="3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60</v>
      </c>
      <c r="B2" s="1"/>
      <c r="C2" s="1"/>
      <c r="D2" s="1"/>
      <c r="E2" s="10"/>
      <c r="F2" s="10"/>
      <c r="G2" s="10"/>
    </row>
    <row r="3" spans="1:10" ht="15.75" customHeight="1" x14ac:dyDescent="0.15">
      <c r="A3" s="94" t="s">
        <v>58</v>
      </c>
      <c r="B3" s="93" t="s">
        <v>807</v>
      </c>
      <c r="C3" s="94"/>
      <c r="D3" s="94"/>
      <c r="E3" s="141"/>
      <c r="F3" s="141"/>
      <c r="G3" s="141"/>
      <c r="H3" s="142"/>
      <c r="I3" s="30"/>
      <c r="J3" s="30"/>
    </row>
    <row r="4" spans="1:10" ht="15.75" customHeight="1" x14ac:dyDescent="0.15">
      <c r="A4" s="94"/>
      <c r="B4" s="94"/>
      <c r="C4" s="94" t="s">
        <v>808</v>
      </c>
      <c r="D4" s="94">
        <v>5931</v>
      </c>
      <c r="E4" s="143">
        <v>0</v>
      </c>
      <c r="F4" s="143">
        <v>-2000</v>
      </c>
      <c r="G4" s="141"/>
      <c r="H4" s="142"/>
      <c r="I4" s="30"/>
      <c r="J4" s="30"/>
    </row>
    <row r="5" spans="1:10" ht="15.75" customHeight="1" x14ac:dyDescent="0.15">
      <c r="A5" s="94"/>
      <c r="B5" s="94"/>
      <c r="C5" s="94" t="s">
        <v>809</v>
      </c>
      <c r="D5" s="144"/>
      <c r="E5" s="145">
        <v>0</v>
      </c>
      <c r="F5" s="146">
        <v>-12000</v>
      </c>
      <c r="G5" s="141"/>
      <c r="H5" s="142"/>
      <c r="I5" s="30"/>
      <c r="J5" s="30"/>
    </row>
    <row r="6" spans="1:10" ht="15.75" customHeight="1" x14ac:dyDescent="0.15">
      <c r="A6" s="94"/>
      <c r="B6" s="94"/>
      <c r="C6" s="94" t="s">
        <v>810</v>
      </c>
      <c r="D6" s="94"/>
      <c r="E6" s="145">
        <v>0</v>
      </c>
      <c r="F6" s="141">
        <v>-4500</v>
      </c>
      <c r="G6" s="141"/>
      <c r="H6" s="142"/>
      <c r="I6" s="30"/>
      <c r="J6" s="30"/>
    </row>
    <row r="7" spans="1:10" ht="15.75" customHeight="1" x14ac:dyDescent="0.15">
      <c r="A7" s="94"/>
      <c r="B7" s="94"/>
      <c r="C7" s="94" t="s">
        <v>811</v>
      </c>
      <c r="D7" s="94"/>
      <c r="E7" s="141">
        <v>0</v>
      </c>
      <c r="F7" s="141">
        <v>-2000</v>
      </c>
      <c r="G7" s="141"/>
      <c r="H7" s="142"/>
      <c r="I7" s="30"/>
      <c r="J7" s="30"/>
    </row>
    <row r="8" spans="1:10" ht="15.75" customHeight="1" x14ac:dyDescent="0.15">
      <c r="A8" s="94"/>
      <c r="B8" s="94"/>
      <c r="C8" s="94" t="s">
        <v>812</v>
      </c>
      <c r="D8" s="94">
        <v>4044</v>
      </c>
      <c r="E8" s="141">
        <v>0</v>
      </c>
      <c r="F8" s="141">
        <v>-25000</v>
      </c>
      <c r="G8" s="141"/>
      <c r="H8" s="142"/>
      <c r="I8" s="30"/>
      <c r="J8" s="30"/>
    </row>
    <row r="9" spans="1:10" ht="15.75" customHeight="1" x14ac:dyDescent="0.15">
      <c r="A9" s="94"/>
      <c r="B9" s="94"/>
      <c r="C9" s="94" t="s">
        <v>813</v>
      </c>
      <c r="D9" s="94"/>
      <c r="E9" s="141">
        <v>0</v>
      </c>
      <c r="F9" s="141">
        <v>-39150</v>
      </c>
      <c r="G9" s="141"/>
      <c r="H9" s="142"/>
      <c r="I9" s="30"/>
      <c r="J9" s="30"/>
    </row>
    <row r="10" spans="1:10" ht="15.75" customHeight="1" x14ac:dyDescent="0.15">
      <c r="A10" s="94"/>
      <c r="B10" s="94"/>
      <c r="C10" s="94" t="s">
        <v>814</v>
      </c>
      <c r="D10" s="94"/>
      <c r="E10" s="141">
        <v>0</v>
      </c>
      <c r="F10" s="141">
        <v>-12000</v>
      </c>
      <c r="G10" s="141"/>
      <c r="H10" s="142"/>
      <c r="I10" s="30"/>
      <c r="J10" s="30"/>
    </row>
    <row r="11" spans="1:10" ht="15.75" customHeight="1" x14ac:dyDescent="0.15">
      <c r="A11" s="94"/>
      <c r="B11" s="94"/>
      <c r="C11" s="94" t="s">
        <v>815</v>
      </c>
      <c r="D11" s="94"/>
      <c r="E11" s="141">
        <v>0</v>
      </c>
      <c r="F11" s="141">
        <v>-13000</v>
      </c>
      <c r="G11" s="141"/>
      <c r="H11" s="142"/>
      <c r="I11" s="30"/>
      <c r="J11" s="30"/>
    </row>
    <row r="12" spans="1:10" ht="15.75" customHeight="1" x14ac:dyDescent="0.15">
      <c r="A12" s="94"/>
      <c r="B12" s="94"/>
      <c r="C12" s="94" t="s">
        <v>816</v>
      </c>
      <c r="D12" s="94"/>
      <c r="E12" s="141">
        <v>0</v>
      </c>
      <c r="F12" s="141">
        <v>-9000</v>
      </c>
      <c r="G12" s="141"/>
      <c r="H12" s="142"/>
      <c r="I12" s="30"/>
      <c r="J12" s="30"/>
    </row>
    <row r="13" spans="1:10" ht="15.75" customHeight="1" x14ac:dyDescent="0.15">
      <c r="A13" s="94"/>
      <c r="B13" s="94"/>
      <c r="C13" s="94" t="s">
        <v>817</v>
      </c>
      <c r="D13" s="94"/>
      <c r="E13" s="141">
        <v>0</v>
      </c>
      <c r="F13" s="141">
        <v>-13000</v>
      </c>
      <c r="G13" s="141"/>
      <c r="H13" s="142"/>
      <c r="I13" s="30"/>
      <c r="J13" s="30"/>
    </row>
    <row r="14" spans="1:10" ht="15.75" customHeight="1" x14ac:dyDescent="0.15">
      <c r="A14" s="94"/>
      <c r="B14" s="94"/>
      <c r="C14" s="94" t="s">
        <v>818</v>
      </c>
      <c r="D14" s="94"/>
      <c r="E14" s="141">
        <v>0</v>
      </c>
      <c r="F14" s="141">
        <v>-5000</v>
      </c>
      <c r="G14" s="141"/>
      <c r="H14" s="142"/>
      <c r="I14" s="30"/>
      <c r="J14" s="30"/>
    </row>
    <row r="15" spans="1:10" ht="15.75" customHeight="1" x14ac:dyDescent="0.15">
      <c r="A15" s="94"/>
      <c r="B15" s="94"/>
      <c r="C15" s="94" t="s">
        <v>819</v>
      </c>
      <c r="D15" s="94"/>
      <c r="E15" s="141">
        <v>0</v>
      </c>
      <c r="F15" s="141">
        <v>-3500</v>
      </c>
      <c r="G15" s="141"/>
      <c r="H15" s="142"/>
      <c r="I15" s="30"/>
      <c r="J15" s="30"/>
    </row>
    <row r="16" spans="1:10" ht="15.75" customHeight="1" x14ac:dyDescent="0.15">
      <c r="A16" s="94"/>
      <c r="B16" s="94"/>
      <c r="C16" s="94"/>
      <c r="D16" s="94"/>
      <c r="E16" s="141"/>
      <c r="F16" s="141"/>
      <c r="G16" s="141"/>
      <c r="H16" s="142"/>
      <c r="I16" s="30"/>
      <c r="J16" s="30"/>
    </row>
    <row r="17" spans="1:10" ht="15.75" customHeight="1" x14ac:dyDescent="0.15">
      <c r="A17" s="94"/>
      <c r="B17" s="94"/>
      <c r="C17" s="93" t="s">
        <v>80</v>
      </c>
      <c r="D17" s="94"/>
      <c r="E17" s="143">
        <f>SUM(E4:E11)</f>
        <v>0</v>
      </c>
      <c r="F17" s="143">
        <f>SUM(F4:F14)</f>
        <v>-136650</v>
      </c>
      <c r="G17" s="143">
        <f>E17+F17</f>
        <v>-136650</v>
      </c>
      <c r="H17" s="142"/>
      <c r="I17" s="30"/>
      <c r="J17" s="30"/>
    </row>
    <row r="18" spans="1:10" ht="15.75" customHeight="1" x14ac:dyDescent="0.15">
      <c r="A18" s="94"/>
      <c r="B18" s="94"/>
      <c r="C18" s="94"/>
      <c r="D18" s="94"/>
      <c r="E18" s="141"/>
      <c r="F18" s="141"/>
      <c r="G18" s="141"/>
      <c r="H18" s="142"/>
      <c r="I18" s="30"/>
      <c r="J18" s="30"/>
    </row>
    <row r="19" spans="1:10" ht="15.75" customHeight="1" x14ac:dyDescent="0.15">
      <c r="A19" s="94"/>
      <c r="B19" s="93" t="s">
        <v>820</v>
      </c>
      <c r="C19" s="94"/>
      <c r="D19" s="94"/>
      <c r="E19" s="141"/>
      <c r="F19" s="141"/>
      <c r="G19" s="141"/>
      <c r="H19" s="142"/>
      <c r="I19" s="30"/>
      <c r="J19" s="30"/>
    </row>
    <row r="20" spans="1:10" ht="15.75" customHeight="1" x14ac:dyDescent="0.15">
      <c r="A20" s="94"/>
      <c r="B20" s="94"/>
      <c r="C20" s="94"/>
      <c r="D20" s="94"/>
      <c r="E20" s="141"/>
      <c r="F20" s="141"/>
      <c r="G20" s="141"/>
      <c r="H20" s="142"/>
      <c r="I20" s="30"/>
      <c r="J20" s="30"/>
    </row>
    <row r="21" spans="1:10" ht="15.75" customHeight="1" x14ac:dyDescent="0.15">
      <c r="A21" s="94"/>
      <c r="B21" s="94"/>
      <c r="C21" s="94"/>
      <c r="D21" s="94"/>
      <c r="E21" s="141"/>
      <c r="F21" s="141"/>
      <c r="G21" s="141"/>
      <c r="H21" s="142"/>
      <c r="I21" s="30"/>
      <c r="J21" s="30"/>
    </row>
    <row r="22" spans="1:10" ht="15.75" customHeight="1" x14ac:dyDescent="0.15">
      <c r="A22" s="94"/>
      <c r="B22" s="94"/>
      <c r="C22" s="93" t="s">
        <v>80</v>
      </c>
      <c r="D22" s="94"/>
      <c r="E22" s="141">
        <f t="shared" ref="E22:F22" si="0">E20</f>
        <v>0</v>
      </c>
      <c r="F22" s="141">
        <f t="shared" si="0"/>
        <v>0</v>
      </c>
      <c r="G22" s="141">
        <f>E22+F22</f>
        <v>0</v>
      </c>
      <c r="H22" s="142"/>
      <c r="I22" s="30"/>
      <c r="J22" s="30"/>
    </row>
    <row r="23" spans="1:10" ht="15.75" customHeight="1" x14ac:dyDescent="0.15">
      <c r="A23" s="94"/>
      <c r="B23" s="94"/>
      <c r="C23" s="94"/>
      <c r="D23" s="94"/>
      <c r="E23" s="141"/>
      <c r="F23" s="141"/>
      <c r="G23" s="141"/>
      <c r="H23" s="142"/>
      <c r="I23" s="30"/>
      <c r="J23" s="30"/>
    </row>
    <row r="24" spans="1:10" ht="15.75" customHeight="1" x14ac:dyDescent="0.15">
      <c r="A24" s="142"/>
      <c r="B24" s="142"/>
      <c r="C24" s="93" t="s">
        <v>102</v>
      </c>
      <c r="D24" s="94"/>
      <c r="E24" s="145">
        <f t="shared" ref="E24:F24" si="1">SUMIFS(E2:E23,$C2:$C23,"Subsubtotal")</f>
        <v>0</v>
      </c>
      <c r="F24" s="147">
        <f t="shared" si="1"/>
        <v>-136650</v>
      </c>
      <c r="G24" s="141">
        <f>SUM(G2:G23)</f>
        <v>-136650</v>
      </c>
      <c r="H24" s="142"/>
    </row>
    <row r="25" spans="1:10" ht="15.75" customHeight="1" x14ac:dyDescent="0.15">
      <c r="A25" s="142"/>
      <c r="B25" s="142"/>
      <c r="C25" s="142"/>
      <c r="D25" s="142"/>
      <c r="E25" s="148"/>
      <c r="F25" s="148"/>
      <c r="G25" s="148"/>
      <c r="H25" s="142"/>
    </row>
  </sheetData>
  <conditionalFormatting sqref="E2:G25">
    <cfRule type="cellIs" dxfId="19" priority="1" operator="greaterThan">
      <formula>0</formula>
    </cfRule>
    <cfRule type="cellIs" dxfId="18" priority="2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728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26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 x14ac:dyDescent="0.25">
      <c r="A2" s="26" t="s">
        <v>61</v>
      </c>
      <c r="B2" s="28"/>
      <c r="C2" s="28"/>
      <c r="D2" s="28"/>
      <c r="E2" s="29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4" x14ac:dyDescent="0.2">
      <c r="A3" s="1" t="s">
        <v>58</v>
      </c>
      <c r="B3" s="25" t="s">
        <v>77</v>
      </c>
      <c r="C3" s="1"/>
      <c r="D3" s="1"/>
      <c r="E3" s="34"/>
      <c r="F3" s="34"/>
      <c r="G3" s="10"/>
      <c r="H3" s="1"/>
      <c r="I3" s="1"/>
      <c r="J3" s="1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4" x14ac:dyDescent="0.2">
      <c r="A4" s="1"/>
      <c r="B4" s="1"/>
      <c r="C4" s="1" t="s">
        <v>821</v>
      </c>
      <c r="D4" s="134">
        <v>7631</v>
      </c>
      <c r="E4" s="10">
        <v>0</v>
      </c>
      <c r="F4" s="10">
        <v>-15000</v>
      </c>
      <c r="G4" s="10"/>
      <c r="H4" s="1"/>
      <c r="I4" s="1" t="s">
        <v>822</v>
      </c>
      <c r="J4" s="1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4" x14ac:dyDescent="0.2">
      <c r="A5" s="1"/>
      <c r="B5" s="1"/>
      <c r="C5" s="1" t="s">
        <v>823</v>
      </c>
      <c r="D5" s="134">
        <v>7692</v>
      </c>
      <c r="E5" s="10">
        <v>0</v>
      </c>
      <c r="F5" s="10">
        <v>-10000</v>
      </c>
      <c r="G5" s="10"/>
      <c r="H5" s="1" t="s">
        <v>824</v>
      </c>
      <c r="I5" s="1"/>
      <c r="J5" s="1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4" x14ac:dyDescent="0.2">
      <c r="A6" s="1"/>
      <c r="B6" s="1"/>
      <c r="C6" s="1" t="s">
        <v>825</v>
      </c>
      <c r="D6" s="134">
        <v>7630</v>
      </c>
      <c r="E6" s="62">
        <v>0</v>
      </c>
      <c r="F6" s="10">
        <v>-10000</v>
      </c>
      <c r="G6" s="10"/>
      <c r="H6" s="1"/>
      <c r="I6" s="1" t="s">
        <v>590</v>
      </c>
      <c r="J6" s="1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4" x14ac:dyDescent="0.2">
      <c r="A7" s="1"/>
      <c r="B7" s="1"/>
      <c r="C7" s="1" t="s">
        <v>826</v>
      </c>
      <c r="D7" s="134">
        <v>6150</v>
      </c>
      <c r="E7" s="10">
        <v>0</v>
      </c>
      <c r="F7" s="10">
        <v>-1000</v>
      </c>
      <c r="G7" s="10"/>
      <c r="H7" s="1"/>
      <c r="I7" s="1" t="s">
        <v>827</v>
      </c>
      <c r="J7" s="1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4" x14ac:dyDescent="0.2">
      <c r="A8" s="1"/>
      <c r="B8" s="1"/>
      <c r="C8" s="1"/>
      <c r="D8" s="77"/>
      <c r="E8" s="10"/>
      <c r="F8" s="10"/>
      <c r="G8" s="10"/>
      <c r="H8" s="1"/>
      <c r="I8" s="1"/>
      <c r="J8" s="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4" x14ac:dyDescent="0.2">
      <c r="A9" s="1"/>
      <c r="B9" s="1"/>
      <c r="C9" s="25" t="s">
        <v>80</v>
      </c>
      <c r="D9" s="77"/>
      <c r="E9" s="10">
        <f t="shared" ref="E9:F9" si="0">SUM(E4:E7)</f>
        <v>0</v>
      </c>
      <c r="F9" s="10">
        <f t="shared" si="0"/>
        <v>-36000</v>
      </c>
      <c r="G9" s="10">
        <f>E9+F9</f>
        <v>-36000</v>
      </c>
      <c r="H9" s="1"/>
      <c r="I9" s="1"/>
      <c r="J9" s="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4" x14ac:dyDescent="0.2">
      <c r="A10" s="1"/>
      <c r="B10" s="1"/>
      <c r="C10" s="1"/>
      <c r="D10" s="77"/>
      <c r="E10" s="10"/>
      <c r="F10" s="10"/>
      <c r="G10" s="10"/>
      <c r="H10" s="1"/>
      <c r="I10" s="1"/>
      <c r="J10" s="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4" x14ac:dyDescent="0.2">
      <c r="A11" s="1"/>
      <c r="B11" s="25" t="s">
        <v>621</v>
      </c>
      <c r="C11" s="1"/>
      <c r="D11" s="77"/>
      <c r="E11" s="10"/>
      <c r="F11" s="10"/>
      <c r="G11" s="10"/>
      <c r="H11" s="1"/>
      <c r="I11" s="1"/>
      <c r="J11" s="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4" x14ac:dyDescent="0.2">
      <c r="A12" s="1"/>
      <c r="B12" s="1"/>
      <c r="C12" s="1" t="s">
        <v>828</v>
      </c>
      <c r="D12" s="134">
        <v>7692</v>
      </c>
      <c r="E12" s="62">
        <v>0</v>
      </c>
      <c r="F12" s="10">
        <v>-6000</v>
      </c>
      <c r="G12" s="10"/>
      <c r="H12" s="1"/>
      <c r="I12" s="1" t="s">
        <v>829</v>
      </c>
      <c r="J12" s="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4" x14ac:dyDescent="0.2">
      <c r="A13" s="1"/>
      <c r="B13" s="1"/>
      <c r="C13" s="1"/>
      <c r="D13" s="77"/>
      <c r="E13" s="10"/>
      <c r="F13" s="10"/>
      <c r="G13" s="10"/>
      <c r="H13" s="1"/>
      <c r="I13" s="1"/>
      <c r="J13" s="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4" x14ac:dyDescent="0.2">
      <c r="A14" s="1"/>
      <c r="B14" s="1"/>
      <c r="C14" s="25" t="s">
        <v>80</v>
      </c>
      <c r="D14" s="77" t="s">
        <v>830</v>
      </c>
      <c r="E14" s="10">
        <f t="shared" ref="E14:F14" si="1">E12</f>
        <v>0</v>
      </c>
      <c r="F14" s="10">
        <f t="shared" si="1"/>
        <v>-6000</v>
      </c>
      <c r="G14" s="10">
        <f>E14+F14</f>
        <v>-6000</v>
      </c>
      <c r="H14" s="1"/>
      <c r="I14" s="1"/>
      <c r="J14" s="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4" x14ac:dyDescent="0.2">
      <c r="A15" s="1"/>
      <c r="B15" s="1"/>
      <c r="C15" s="1"/>
      <c r="D15" s="77"/>
      <c r="E15" s="10"/>
      <c r="F15" s="10"/>
      <c r="G15" s="10"/>
      <c r="H15" s="1"/>
      <c r="I15" s="1"/>
      <c r="J15" s="1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4" x14ac:dyDescent="0.2">
      <c r="A16" s="1"/>
      <c r="B16" s="25" t="s">
        <v>831</v>
      </c>
      <c r="C16" s="1"/>
      <c r="D16" s="77"/>
      <c r="E16" s="10"/>
      <c r="F16" s="10"/>
      <c r="G16" s="10"/>
      <c r="H16" s="1"/>
      <c r="I16" s="1"/>
      <c r="J16" s="1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4" x14ac:dyDescent="0.2">
      <c r="A17" s="1"/>
      <c r="B17" s="1"/>
      <c r="C17" s="1" t="s">
        <v>83</v>
      </c>
      <c r="D17" s="134">
        <v>7691</v>
      </c>
      <c r="E17" s="62">
        <v>0</v>
      </c>
      <c r="F17" s="10">
        <v>-6000</v>
      </c>
      <c r="G17" s="10"/>
      <c r="H17" s="1"/>
      <c r="I17" s="1"/>
      <c r="J17" s="1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4" x14ac:dyDescent="0.2">
      <c r="A18" s="1"/>
      <c r="B18" s="1"/>
      <c r="C18" s="1"/>
      <c r="D18" s="1"/>
      <c r="E18" s="10"/>
      <c r="F18" s="10"/>
      <c r="G18" s="10"/>
      <c r="H18" s="1"/>
      <c r="I18" s="1"/>
      <c r="J18" s="1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4" x14ac:dyDescent="0.2">
      <c r="A19" s="1"/>
      <c r="B19" s="1"/>
      <c r="C19" s="25" t="s">
        <v>80</v>
      </c>
      <c r="D19" s="1"/>
      <c r="E19" s="10">
        <f t="shared" ref="E19:F19" si="2">E17</f>
        <v>0</v>
      </c>
      <c r="F19" s="10">
        <f t="shared" si="2"/>
        <v>-6000</v>
      </c>
      <c r="G19" s="10">
        <f>E19+F19</f>
        <v>-6000</v>
      </c>
      <c r="H19" s="1"/>
      <c r="I19" s="1"/>
      <c r="J19" s="1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4" x14ac:dyDescent="0.2">
      <c r="A20" s="1"/>
      <c r="B20" s="1"/>
      <c r="C20" s="1"/>
      <c r="D20" s="1"/>
      <c r="E20" s="10"/>
      <c r="F20" s="10"/>
      <c r="G20" s="10"/>
      <c r="H20" s="1"/>
      <c r="I20" s="1"/>
      <c r="J20" s="1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4" x14ac:dyDescent="0.2">
      <c r="A21" s="1"/>
      <c r="B21" s="25" t="s">
        <v>832</v>
      </c>
      <c r="C21" s="1"/>
      <c r="D21" s="1"/>
      <c r="E21" s="10"/>
      <c r="F21" s="10"/>
      <c r="G21" s="62"/>
      <c r="H21" s="1"/>
      <c r="I21" s="1" t="s">
        <v>833</v>
      </c>
      <c r="J21" s="1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" x14ac:dyDescent="0.2">
      <c r="A22" s="1"/>
      <c r="B22" s="1"/>
      <c r="C22" s="1" t="s">
        <v>94</v>
      </c>
      <c r="D22" s="61">
        <v>7692</v>
      </c>
      <c r="E22" s="10">
        <v>0</v>
      </c>
      <c r="F22" s="62">
        <v>-3000</v>
      </c>
      <c r="G22" s="10"/>
      <c r="H22" s="1"/>
      <c r="I22" s="1"/>
      <c r="J22" s="1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4" x14ac:dyDescent="0.2">
      <c r="A23" s="1"/>
      <c r="B23" s="1"/>
      <c r="C23" s="1" t="s">
        <v>302</v>
      </c>
      <c r="D23" s="1" t="s">
        <v>834</v>
      </c>
      <c r="E23" s="10">
        <v>0</v>
      </c>
      <c r="F23" s="10">
        <v>-1000</v>
      </c>
      <c r="G23" s="10"/>
      <c r="H23" s="1"/>
      <c r="I23" s="1"/>
      <c r="J23" s="1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4" x14ac:dyDescent="0.2">
      <c r="A24" s="1"/>
      <c r="B24" s="1"/>
      <c r="C24" s="1"/>
      <c r="D24" s="1"/>
      <c r="E24" s="10"/>
      <c r="F24" s="10"/>
      <c r="G24" s="10"/>
      <c r="H24" s="1"/>
      <c r="I24" s="1"/>
      <c r="J24" s="1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4" x14ac:dyDescent="0.2">
      <c r="A25" s="1"/>
      <c r="B25" s="1"/>
      <c r="C25" s="25" t="s">
        <v>80</v>
      </c>
      <c r="D25" s="1"/>
      <c r="E25" s="10" t="s">
        <v>199</v>
      </c>
      <c r="F25" s="62">
        <f>SUM(F22)</f>
        <v>-3000</v>
      </c>
      <c r="G25" s="10"/>
      <c r="H25" s="1"/>
      <c r="I25" s="1"/>
      <c r="J25" s="1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4" x14ac:dyDescent="0.2">
      <c r="A26" s="1"/>
      <c r="B26" s="1"/>
      <c r="C26" s="1"/>
      <c r="D26" s="1"/>
      <c r="E26" s="10"/>
      <c r="F26" s="10"/>
      <c r="G26" s="10"/>
      <c r="H26" s="1"/>
      <c r="I26" s="1"/>
      <c r="J26" s="1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4" x14ac:dyDescent="0.2">
      <c r="A27" s="28"/>
      <c r="B27" s="28"/>
      <c r="C27" s="25" t="s">
        <v>102</v>
      </c>
      <c r="D27" s="1"/>
      <c r="E27" s="8">
        <f t="shared" ref="E27:F27" si="3">SUMIFS(E2:E26,$C2:$C26,"Subsubtotal")</f>
        <v>0</v>
      </c>
      <c r="F27" s="31">
        <f t="shared" si="3"/>
        <v>-51000</v>
      </c>
      <c r="G27" s="10">
        <f>SUM(G2:G26)</f>
        <v>-48000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 x14ac:dyDescent="0.15">
      <c r="A28" s="28"/>
      <c r="B28" s="28"/>
      <c r="C28" s="28"/>
      <c r="D28" s="28"/>
      <c r="E28" s="29"/>
      <c r="F28" s="29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 x14ac:dyDescent="0.15">
      <c r="A29" s="28"/>
      <c r="B29" s="28"/>
      <c r="C29" s="28"/>
      <c r="D29" s="28"/>
      <c r="E29" s="29"/>
      <c r="F29" s="29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4" x14ac:dyDescent="0.2">
      <c r="A30" s="28"/>
      <c r="B30" s="28"/>
      <c r="C30" s="28"/>
      <c r="D30" s="28"/>
      <c r="E30" s="10"/>
      <c r="F30" s="10"/>
      <c r="G30" s="1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4" x14ac:dyDescent="0.2">
      <c r="A31" s="28"/>
      <c r="B31" s="28"/>
      <c r="C31" s="28"/>
      <c r="D31" s="28"/>
      <c r="E31" s="10"/>
      <c r="F31" s="10"/>
      <c r="G31" s="10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4" x14ac:dyDescent="0.2">
      <c r="A32" s="28"/>
      <c r="B32" s="28"/>
      <c r="C32" s="28"/>
      <c r="D32" s="28"/>
      <c r="E32" s="10"/>
      <c r="F32" s="10"/>
      <c r="G32" s="10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4" x14ac:dyDescent="0.2">
      <c r="A33" s="28"/>
      <c r="B33" s="28"/>
      <c r="C33" s="28"/>
      <c r="D33" s="28"/>
      <c r="E33" s="10"/>
      <c r="F33" s="10"/>
      <c r="G33" s="10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4" x14ac:dyDescent="0.2">
      <c r="A34" s="28"/>
      <c r="B34" s="28"/>
      <c r="C34" s="28"/>
      <c r="D34" s="28"/>
      <c r="E34" s="10"/>
      <c r="F34" s="10"/>
      <c r="G34" s="1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4" x14ac:dyDescent="0.2">
      <c r="A35" s="28"/>
      <c r="B35" s="28"/>
      <c r="C35" s="28"/>
      <c r="D35" s="28"/>
      <c r="E35" s="10"/>
      <c r="F35" s="10"/>
      <c r="G35" s="10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4" x14ac:dyDescent="0.2">
      <c r="A36" s="28"/>
      <c r="B36" s="28"/>
      <c r="C36" s="28"/>
      <c r="D36" s="28"/>
      <c r="E36" s="10"/>
      <c r="F36" s="10"/>
      <c r="G36" s="10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4" x14ac:dyDescent="0.2">
      <c r="A37" s="28"/>
      <c r="B37" s="28"/>
      <c r="C37" s="28"/>
      <c r="D37" s="28"/>
      <c r="E37" s="10"/>
      <c r="F37" s="10"/>
      <c r="G37" s="10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4" x14ac:dyDescent="0.2">
      <c r="A38" s="28"/>
      <c r="B38" s="28"/>
      <c r="C38" s="28"/>
      <c r="D38" s="28"/>
      <c r="E38" s="10"/>
      <c r="F38" s="10"/>
      <c r="G38" s="10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4" x14ac:dyDescent="0.2">
      <c r="A39" s="28"/>
      <c r="B39" s="28"/>
      <c r="C39" s="28"/>
      <c r="D39" s="28"/>
      <c r="E39" s="10"/>
      <c r="F39" s="10"/>
      <c r="G39" s="1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4" x14ac:dyDescent="0.2">
      <c r="A40" s="28"/>
      <c r="B40" s="28"/>
      <c r="C40" s="28"/>
      <c r="D40" s="28"/>
      <c r="E40" s="10"/>
      <c r="F40" s="10"/>
      <c r="G40" s="1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4" x14ac:dyDescent="0.2">
      <c r="A41" s="28"/>
      <c r="B41" s="28"/>
      <c r="C41" s="28"/>
      <c r="D41" s="28"/>
      <c r="E41" s="10"/>
      <c r="F41" s="10"/>
      <c r="G41" s="1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4" x14ac:dyDescent="0.2">
      <c r="A42" s="28"/>
      <c r="B42" s="28"/>
      <c r="C42" s="28"/>
      <c r="D42" s="28"/>
      <c r="E42" s="10"/>
      <c r="F42" s="10"/>
      <c r="G42" s="1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4" x14ac:dyDescent="0.2">
      <c r="A43" s="28"/>
      <c r="B43" s="28"/>
      <c r="C43" s="28"/>
      <c r="D43" s="28"/>
      <c r="E43" s="10"/>
      <c r="F43" s="10"/>
      <c r="G43" s="1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4" x14ac:dyDescent="0.2">
      <c r="A44" s="28"/>
      <c r="B44" s="28"/>
      <c r="C44" s="28"/>
      <c r="D44" s="28"/>
      <c r="E44" s="10"/>
      <c r="F44" s="10"/>
      <c r="G44" s="1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4" x14ac:dyDescent="0.2">
      <c r="A45" s="28"/>
      <c r="B45" s="28"/>
      <c r="C45" s="28"/>
      <c r="D45" s="28"/>
      <c r="E45" s="10"/>
      <c r="F45" s="10"/>
      <c r="G45" s="1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4" x14ac:dyDescent="0.2">
      <c r="A46" s="28"/>
      <c r="B46" s="28"/>
      <c r="C46" s="28"/>
      <c r="D46" s="28"/>
      <c r="E46" s="10"/>
      <c r="F46" s="10"/>
      <c r="G46" s="1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4" x14ac:dyDescent="0.2">
      <c r="A47" s="28"/>
      <c r="B47" s="28"/>
      <c r="C47" s="28"/>
      <c r="D47" s="28"/>
      <c r="E47" s="10"/>
      <c r="F47" s="10"/>
      <c r="G47" s="1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4" x14ac:dyDescent="0.2">
      <c r="A48" s="28"/>
      <c r="B48" s="28"/>
      <c r="C48" s="28"/>
      <c r="D48" s="28"/>
      <c r="E48" s="10"/>
      <c r="F48" s="10"/>
      <c r="G48" s="1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4" x14ac:dyDescent="0.2">
      <c r="A49" s="28"/>
      <c r="B49" s="28"/>
      <c r="C49" s="28"/>
      <c r="D49" s="28"/>
      <c r="E49" s="10"/>
      <c r="F49" s="10"/>
      <c r="G49" s="1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4" x14ac:dyDescent="0.2">
      <c r="A50" s="28"/>
      <c r="B50" s="28"/>
      <c r="C50" s="28"/>
      <c r="D50" s="28"/>
      <c r="E50" s="10"/>
      <c r="F50" s="10"/>
      <c r="G50" s="1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4" x14ac:dyDescent="0.2">
      <c r="A51" s="28"/>
      <c r="B51" s="28"/>
      <c r="C51" s="28"/>
      <c r="D51" s="28"/>
      <c r="E51" s="10"/>
      <c r="F51" s="10"/>
      <c r="G51" s="1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4" x14ac:dyDescent="0.2">
      <c r="A52" s="28"/>
      <c r="B52" s="28"/>
      <c r="C52" s="28"/>
      <c r="D52" s="28"/>
      <c r="E52" s="10"/>
      <c r="F52" s="10"/>
      <c r="G52" s="1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4" x14ac:dyDescent="0.2">
      <c r="A53" s="28"/>
      <c r="B53" s="28"/>
      <c r="C53" s="28"/>
      <c r="D53" s="28"/>
      <c r="E53" s="10"/>
      <c r="F53" s="10"/>
      <c r="G53" s="1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4" x14ac:dyDescent="0.2">
      <c r="A54" s="28"/>
      <c r="B54" s="28"/>
      <c r="C54" s="28"/>
      <c r="D54" s="28"/>
      <c r="E54" s="10"/>
      <c r="F54" s="10"/>
      <c r="G54" s="1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4" x14ac:dyDescent="0.2">
      <c r="A55" s="28"/>
      <c r="B55" s="28"/>
      <c r="C55" s="28"/>
      <c r="D55" s="28"/>
      <c r="E55" s="10"/>
      <c r="F55" s="10"/>
      <c r="G55" s="1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4" x14ac:dyDescent="0.2">
      <c r="A56" s="28"/>
      <c r="B56" s="28"/>
      <c r="C56" s="28"/>
      <c r="D56" s="28"/>
      <c r="E56" s="10"/>
      <c r="F56" s="10"/>
      <c r="G56" s="1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4" x14ac:dyDescent="0.2">
      <c r="A57" s="28"/>
      <c r="B57" s="28"/>
      <c r="C57" s="28"/>
      <c r="D57" s="28"/>
      <c r="E57" s="10"/>
      <c r="F57" s="10"/>
      <c r="G57" s="1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4" x14ac:dyDescent="0.2">
      <c r="A58" s="28"/>
      <c r="B58" s="28"/>
      <c r="C58" s="28"/>
      <c r="D58" s="28"/>
      <c r="E58" s="10"/>
      <c r="F58" s="10"/>
      <c r="G58" s="1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4" x14ac:dyDescent="0.2">
      <c r="A59" s="28"/>
      <c r="B59" s="28"/>
      <c r="C59" s="28"/>
      <c r="D59" s="28"/>
      <c r="E59" s="10"/>
      <c r="F59" s="10"/>
      <c r="G59" s="1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4" x14ac:dyDescent="0.2">
      <c r="A60" s="28"/>
      <c r="B60" s="28"/>
      <c r="C60" s="28"/>
      <c r="D60" s="28"/>
      <c r="E60" s="10"/>
      <c r="F60" s="10"/>
      <c r="G60" s="1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4" x14ac:dyDescent="0.2">
      <c r="A61" s="28"/>
      <c r="B61" s="28"/>
      <c r="C61" s="28"/>
      <c r="D61" s="28"/>
      <c r="E61" s="10"/>
      <c r="F61" s="10"/>
      <c r="G61" s="1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4" x14ac:dyDescent="0.2">
      <c r="A62" s="28"/>
      <c r="B62" s="28"/>
      <c r="C62" s="28"/>
      <c r="D62" s="28"/>
      <c r="E62" s="10"/>
      <c r="F62" s="10"/>
      <c r="G62" s="1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4" x14ac:dyDescent="0.2">
      <c r="A63" s="28"/>
      <c r="B63" s="28"/>
      <c r="C63" s="28"/>
      <c r="D63" s="28"/>
      <c r="E63" s="10"/>
      <c r="F63" s="10"/>
      <c r="G63" s="1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4" x14ac:dyDescent="0.2">
      <c r="A64" s="28"/>
      <c r="B64" s="28"/>
      <c r="C64" s="28"/>
      <c r="D64" s="28"/>
      <c r="E64" s="10"/>
      <c r="F64" s="10"/>
      <c r="G64" s="1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" x14ac:dyDescent="0.15">
      <c r="A65" s="28"/>
      <c r="B65" s="28"/>
      <c r="C65" s="28"/>
      <c r="D65" s="28"/>
      <c r="E65" s="29"/>
      <c r="F65" s="29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" x14ac:dyDescent="0.15">
      <c r="A66" s="28"/>
      <c r="B66" s="28"/>
      <c r="C66" s="28"/>
      <c r="D66" s="28"/>
      <c r="E66" s="29"/>
      <c r="F66" s="29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" x14ac:dyDescent="0.15">
      <c r="A67" s="28"/>
      <c r="B67" s="28"/>
      <c r="C67" s="28"/>
      <c r="D67" s="28"/>
      <c r="E67" s="29"/>
      <c r="F67" s="29"/>
      <c r="G67" s="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" x14ac:dyDescent="0.15">
      <c r="A68" s="28"/>
      <c r="B68" s="28"/>
      <c r="C68" s="28"/>
      <c r="D68" s="28"/>
      <c r="E68" s="29"/>
      <c r="F68" s="29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" x14ac:dyDescent="0.15">
      <c r="A69" s="28"/>
      <c r="B69" s="28"/>
      <c r="C69" s="28"/>
      <c r="D69" s="28"/>
      <c r="E69" s="29"/>
      <c r="F69" s="29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" x14ac:dyDescent="0.15">
      <c r="A70" s="28"/>
      <c r="B70" s="28"/>
      <c r="C70" s="28"/>
      <c r="D70" s="28"/>
      <c r="E70" s="29"/>
      <c r="F70" s="29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" x14ac:dyDescent="0.15">
      <c r="A71" s="28"/>
      <c r="B71" s="28"/>
      <c r="C71" s="28"/>
      <c r="D71" s="28"/>
      <c r="E71" s="29"/>
      <c r="F71" s="29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" x14ac:dyDescent="0.15">
      <c r="A72" s="28"/>
      <c r="B72" s="28"/>
      <c r="C72" s="28"/>
      <c r="D72" s="28"/>
      <c r="E72" s="29"/>
      <c r="F72" s="29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" x14ac:dyDescent="0.15">
      <c r="A73" s="28"/>
      <c r="B73" s="28"/>
      <c r="C73" s="28"/>
      <c r="D73" s="28"/>
      <c r="E73" s="29"/>
      <c r="F73" s="29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" x14ac:dyDescent="0.15">
      <c r="A74" s="28"/>
      <c r="B74" s="28"/>
      <c r="C74" s="28"/>
      <c r="D74" s="28"/>
      <c r="E74" s="29"/>
      <c r="F74" s="29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" x14ac:dyDescent="0.15">
      <c r="A75" s="28"/>
      <c r="B75" s="28"/>
      <c r="C75" s="28"/>
      <c r="D75" s="28"/>
      <c r="E75" s="29"/>
      <c r="F75" s="29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" x14ac:dyDescent="0.15">
      <c r="A76" s="28"/>
      <c r="B76" s="28"/>
      <c r="C76" s="28"/>
      <c r="D76" s="28"/>
      <c r="E76" s="29"/>
      <c r="F76" s="29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" x14ac:dyDescent="0.15">
      <c r="A77" s="28"/>
      <c r="B77" s="28"/>
      <c r="C77" s="28"/>
      <c r="D77" s="28"/>
      <c r="E77" s="29"/>
      <c r="F77" s="29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" x14ac:dyDescent="0.15">
      <c r="A78" s="28"/>
      <c r="B78" s="28"/>
      <c r="C78" s="28"/>
      <c r="D78" s="28"/>
      <c r="E78" s="29"/>
      <c r="F78" s="29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" x14ac:dyDescent="0.15">
      <c r="A79" s="28"/>
      <c r="B79" s="28"/>
      <c r="C79" s="28"/>
      <c r="D79" s="28"/>
      <c r="E79" s="29"/>
      <c r="F79" s="29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" x14ac:dyDescent="0.15">
      <c r="A80" s="28"/>
      <c r="B80" s="28"/>
      <c r="C80" s="28"/>
      <c r="D80" s="28"/>
      <c r="E80" s="29"/>
      <c r="F80" s="29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" x14ac:dyDescent="0.15">
      <c r="A81" s="28"/>
      <c r="B81" s="28"/>
      <c r="C81" s="28"/>
      <c r="D81" s="28"/>
      <c r="E81" s="29"/>
      <c r="F81" s="29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" x14ac:dyDescent="0.15">
      <c r="A82" s="28"/>
      <c r="B82" s="28"/>
      <c r="C82" s="28"/>
      <c r="D82" s="28"/>
      <c r="E82" s="29"/>
      <c r="F82" s="29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" x14ac:dyDescent="0.15">
      <c r="A83" s="28"/>
      <c r="B83" s="28"/>
      <c r="C83" s="28"/>
      <c r="D83" s="28"/>
      <c r="E83" s="29"/>
      <c r="F83" s="29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" x14ac:dyDescent="0.15">
      <c r="A84" s="28"/>
      <c r="B84" s="28"/>
      <c r="C84" s="28"/>
      <c r="D84" s="28"/>
      <c r="E84" s="29"/>
      <c r="F84" s="29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" x14ac:dyDescent="0.15">
      <c r="A85" s="28"/>
      <c r="B85" s="28"/>
      <c r="C85" s="28"/>
      <c r="D85" s="28"/>
      <c r="E85" s="29"/>
      <c r="F85" s="29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" x14ac:dyDescent="0.15">
      <c r="A86" s="28"/>
      <c r="B86" s="28"/>
      <c r="C86" s="28"/>
      <c r="D86" s="28"/>
      <c r="E86" s="29"/>
      <c r="F86" s="29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" x14ac:dyDescent="0.15">
      <c r="A87" s="28"/>
      <c r="B87" s="28"/>
      <c r="C87" s="28"/>
      <c r="D87" s="28"/>
      <c r="E87" s="29"/>
      <c r="F87" s="29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" x14ac:dyDescent="0.15">
      <c r="A88" s="28"/>
      <c r="B88" s="28"/>
      <c r="C88" s="28"/>
      <c r="D88" s="28"/>
      <c r="E88" s="29"/>
      <c r="F88" s="29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" x14ac:dyDescent="0.15">
      <c r="A89" s="28"/>
      <c r="B89" s="28"/>
      <c r="C89" s="28"/>
      <c r="D89" s="28"/>
      <c r="E89" s="29"/>
      <c r="F89" s="29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" x14ac:dyDescent="0.15">
      <c r="A90" s="28"/>
      <c r="B90" s="28"/>
      <c r="C90" s="28"/>
      <c r="D90" s="28"/>
      <c r="E90" s="29"/>
      <c r="F90" s="29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" x14ac:dyDescent="0.15">
      <c r="A91" s="28"/>
      <c r="B91" s="28"/>
      <c r="C91" s="28"/>
      <c r="D91" s="28"/>
      <c r="E91" s="29"/>
      <c r="F91" s="29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" x14ac:dyDescent="0.15">
      <c r="A92" s="28"/>
      <c r="B92" s="28"/>
      <c r="C92" s="28"/>
      <c r="D92" s="28"/>
      <c r="E92" s="29"/>
      <c r="F92" s="29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" x14ac:dyDescent="0.15">
      <c r="A93" s="28"/>
      <c r="B93" s="28"/>
      <c r="C93" s="28"/>
      <c r="D93" s="28"/>
      <c r="E93" s="29"/>
      <c r="F93" s="29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" x14ac:dyDescent="0.15">
      <c r="A94" s="28"/>
      <c r="B94" s="28"/>
      <c r="C94" s="28"/>
      <c r="D94" s="28"/>
      <c r="E94" s="29"/>
      <c r="F94" s="29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" x14ac:dyDescent="0.15">
      <c r="A95" s="28"/>
      <c r="B95" s="28"/>
      <c r="C95" s="28"/>
      <c r="D95" s="28"/>
      <c r="E95" s="29"/>
      <c r="F95" s="29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" x14ac:dyDescent="0.15">
      <c r="A96" s="28"/>
      <c r="B96" s="28"/>
      <c r="C96" s="28"/>
      <c r="D96" s="28"/>
      <c r="E96" s="29"/>
      <c r="F96" s="29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" x14ac:dyDescent="0.15">
      <c r="A97" s="28"/>
      <c r="B97" s="28"/>
      <c r="C97" s="28"/>
      <c r="D97" s="28"/>
      <c r="E97" s="29"/>
      <c r="F97" s="29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" x14ac:dyDescent="0.15">
      <c r="A98" s="28"/>
      <c r="B98" s="28"/>
      <c r="C98" s="28"/>
      <c r="D98" s="28"/>
      <c r="E98" s="29"/>
      <c r="F98" s="29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" x14ac:dyDescent="0.15">
      <c r="A99" s="28"/>
      <c r="B99" s="28"/>
      <c r="C99" s="28"/>
      <c r="D99" s="28"/>
      <c r="E99" s="29"/>
      <c r="F99" s="29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" x14ac:dyDescent="0.15">
      <c r="A100" s="28"/>
      <c r="B100" s="28"/>
      <c r="C100" s="28"/>
      <c r="D100" s="28"/>
      <c r="E100" s="29"/>
      <c r="F100" s="29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" x14ac:dyDescent="0.15">
      <c r="A101" s="28"/>
      <c r="B101" s="28"/>
      <c r="C101" s="28"/>
      <c r="D101" s="28"/>
      <c r="E101" s="29"/>
      <c r="F101" s="29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" x14ac:dyDescent="0.15">
      <c r="A102" s="28"/>
      <c r="B102" s="28"/>
      <c r="C102" s="28"/>
      <c r="D102" s="28"/>
      <c r="E102" s="29"/>
      <c r="F102" s="29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" x14ac:dyDescent="0.15">
      <c r="A103" s="28"/>
      <c r="B103" s="28"/>
      <c r="C103" s="28"/>
      <c r="D103" s="28"/>
      <c r="E103" s="29"/>
      <c r="F103" s="29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" x14ac:dyDescent="0.15">
      <c r="A104" s="28"/>
      <c r="B104" s="28"/>
      <c r="C104" s="28"/>
      <c r="D104" s="28"/>
      <c r="E104" s="29"/>
      <c r="F104" s="29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" x14ac:dyDescent="0.15">
      <c r="A105" s="28"/>
      <c r="B105" s="28"/>
      <c r="C105" s="28"/>
      <c r="D105" s="28"/>
      <c r="E105" s="29"/>
      <c r="F105" s="29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" x14ac:dyDescent="0.15">
      <c r="A106" s="28"/>
      <c r="B106" s="28"/>
      <c r="C106" s="28"/>
      <c r="D106" s="28"/>
      <c r="E106" s="29"/>
      <c r="F106" s="29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" x14ac:dyDescent="0.15">
      <c r="A107" s="28"/>
      <c r="B107" s="28"/>
      <c r="C107" s="28"/>
      <c r="D107" s="28"/>
      <c r="E107" s="29"/>
      <c r="F107" s="29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" x14ac:dyDescent="0.15">
      <c r="A108" s="28"/>
      <c r="B108" s="28"/>
      <c r="C108" s="28"/>
      <c r="D108" s="28"/>
      <c r="E108" s="29"/>
      <c r="F108" s="29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" x14ac:dyDescent="0.15">
      <c r="A109" s="28"/>
      <c r="B109" s="28"/>
      <c r="C109" s="28"/>
      <c r="D109" s="28"/>
      <c r="E109" s="29"/>
      <c r="F109" s="29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" x14ac:dyDescent="0.15">
      <c r="A110" s="28"/>
      <c r="B110" s="28"/>
      <c r="C110" s="28"/>
      <c r="D110" s="28"/>
      <c r="E110" s="29"/>
      <c r="F110" s="29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" x14ac:dyDescent="0.15">
      <c r="A111" s="28"/>
      <c r="B111" s="28"/>
      <c r="C111" s="28"/>
      <c r="D111" s="28"/>
      <c r="E111" s="29"/>
      <c r="F111" s="29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" x14ac:dyDescent="0.15">
      <c r="A112" s="28"/>
      <c r="B112" s="28"/>
      <c r="C112" s="28"/>
      <c r="D112" s="28"/>
      <c r="E112" s="29"/>
      <c r="F112" s="29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" x14ac:dyDescent="0.15">
      <c r="A113" s="28"/>
      <c r="B113" s="28"/>
      <c r="C113" s="28"/>
      <c r="D113" s="28"/>
      <c r="E113" s="29"/>
      <c r="F113" s="29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" x14ac:dyDescent="0.15">
      <c r="A114" s="28"/>
      <c r="B114" s="28"/>
      <c r="C114" s="28"/>
      <c r="D114" s="28"/>
      <c r="E114" s="29"/>
      <c r="F114" s="29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" x14ac:dyDescent="0.15">
      <c r="A115" s="28"/>
      <c r="B115" s="28"/>
      <c r="C115" s="28"/>
      <c r="D115" s="28"/>
      <c r="E115" s="29"/>
      <c r="F115" s="29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" x14ac:dyDescent="0.15">
      <c r="A116" s="28"/>
      <c r="B116" s="28"/>
      <c r="C116" s="28"/>
      <c r="D116" s="28"/>
      <c r="E116" s="29"/>
      <c r="F116" s="29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" x14ac:dyDescent="0.15">
      <c r="A117" s="28"/>
      <c r="B117" s="28"/>
      <c r="C117" s="28"/>
      <c r="D117" s="28"/>
      <c r="E117" s="29"/>
      <c r="F117" s="29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" x14ac:dyDescent="0.15">
      <c r="A118" s="28"/>
      <c r="B118" s="28"/>
      <c r="C118" s="28"/>
      <c r="D118" s="28"/>
      <c r="E118" s="29"/>
      <c r="F118" s="29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" x14ac:dyDescent="0.15">
      <c r="A119" s="28"/>
      <c r="B119" s="28"/>
      <c r="C119" s="28"/>
      <c r="D119" s="28"/>
      <c r="E119" s="29"/>
      <c r="F119" s="29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" x14ac:dyDescent="0.15">
      <c r="A120" s="28"/>
      <c r="B120" s="28"/>
      <c r="C120" s="28"/>
      <c r="D120" s="28"/>
      <c r="E120" s="29"/>
      <c r="F120" s="29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" x14ac:dyDescent="0.15">
      <c r="A121" s="28"/>
      <c r="B121" s="28"/>
      <c r="C121" s="28"/>
      <c r="D121" s="28"/>
      <c r="E121" s="29"/>
      <c r="F121" s="29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" x14ac:dyDescent="0.15">
      <c r="A122" s="28"/>
      <c r="B122" s="28"/>
      <c r="C122" s="28"/>
      <c r="D122" s="28"/>
      <c r="E122" s="29"/>
      <c r="F122" s="29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" x14ac:dyDescent="0.15">
      <c r="A123" s="28"/>
      <c r="B123" s="28"/>
      <c r="C123" s="28"/>
      <c r="D123" s="28"/>
      <c r="E123" s="29"/>
      <c r="F123" s="29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" x14ac:dyDescent="0.15">
      <c r="A124" s="28"/>
      <c r="B124" s="28"/>
      <c r="C124" s="28"/>
      <c r="D124" s="28"/>
      <c r="E124" s="29"/>
      <c r="F124" s="29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" x14ac:dyDescent="0.15">
      <c r="A125" s="28"/>
      <c r="B125" s="28"/>
      <c r="C125" s="28"/>
      <c r="D125" s="28"/>
      <c r="E125" s="29"/>
      <c r="F125" s="29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" x14ac:dyDescent="0.15">
      <c r="A126" s="28"/>
      <c r="B126" s="28"/>
      <c r="C126" s="28"/>
      <c r="D126" s="28"/>
      <c r="E126" s="29"/>
      <c r="F126" s="29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" x14ac:dyDescent="0.15">
      <c r="A127" s="28"/>
      <c r="B127" s="28"/>
      <c r="C127" s="28"/>
      <c r="D127" s="28"/>
      <c r="E127" s="29"/>
      <c r="F127" s="29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" x14ac:dyDescent="0.15">
      <c r="A128" s="28"/>
      <c r="B128" s="28"/>
      <c r="C128" s="28"/>
      <c r="D128" s="28"/>
      <c r="E128" s="29"/>
      <c r="F128" s="29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" x14ac:dyDescent="0.15">
      <c r="A129" s="28"/>
      <c r="B129" s="28"/>
      <c r="C129" s="28"/>
      <c r="D129" s="28"/>
      <c r="E129" s="29"/>
      <c r="F129" s="29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" x14ac:dyDescent="0.15">
      <c r="A130" s="28"/>
      <c r="B130" s="28"/>
      <c r="C130" s="28"/>
      <c r="D130" s="28"/>
      <c r="E130" s="29"/>
      <c r="F130" s="29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" x14ac:dyDescent="0.15">
      <c r="A131" s="28"/>
      <c r="B131" s="28"/>
      <c r="C131" s="28"/>
      <c r="D131" s="28"/>
      <c r="E131" s="29"/>
      <c r="F131" s="29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" x14ac:dyDescent="0.15">
      <c r="A132" s="28"/>
      <c r="B132" s="28"/>
      <c r="C132" s="28"/>
      <c r="D132" s="28"/>
      <c r="E132" s="29"/>
      <c r="F132" s="29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" x14ac:dyDescent="0.15">
      <c r="A133" s="28"/>
      <c r="B133" s="28"/>
      <c r="C133" s="28"/>
      <c r="D133" s="28"/>
      <c r="E133" s="29"/>
      <c r="F133" s="29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" x14ac:dyDescent="0.15">
      <c r="A134" s="28"/>
      <c r="B134" s="28"/>
      <c r="C134" s="28"/>
      <c r="D134" s="28"/>
      <c r="E134" s="29"/>
      <c r="F134" s="29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" x14ac:dyDescent="0.15">
      <c r="A135" s="28"/>
      <c r="B135" s="28"/>
      <c r="C135" s="28"/>
      <c r="D135" s="28"/>
      <c r="E135" s="29"/>
      <c r="F135" s="29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" x14ac:dyDescent="0.15">
      <c r="A136" s="28"/>
      <c r="B136" s="28"/>
      <c r="C136" s="28"/>
      <c r="D136" s="28"/>
      <c r="E136" s="29"/>
      <c r="F136" s="29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" x14ac:dyDescent="0.15">
      <c r="A137" s="28"/>
      <c r="B137" s="28"/>
      <c r="C137" s="28"/>
      <c r="D137" s="28"/>
      <c r="E137" s="29"/>
      <c r="F137" s="29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" x14ac:dyDescent="0.15">
      <c r="A138" s="28"/>
      <c r="B138" s="28"/>
      <c r="C138" s="28"/>
      <c r="D138" s="28"/>
      <c r="E138" s="29"/>
      <c r="F138" s="29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" x14ac:dyDescent="0.15">
      <c r="A139" s="28"/>
      <c r="B139" s="28"/>
      <c r="C139" s="28"/>
      <c r="D139" s="28"/>
      <c r="E139" s="29"/>
      <c r="F139" s="29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" x14ac:dyDescent="0.15">
      <c r="A140" s="28"/>
      <c r="B140" s="28"/>
      <c r="C140" s="28"/>
      <c r="D140" s="28"/>
      <c r="E140" s="29"/>
      <c r="F140" s="29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" x14ac:dyDescent="0.15">
      <c r="A141" s="28"/>
      <c r="B141" s="28"/>
      <c r="C141" s="28"/>
      <c r="D141" s="28"/>
      <c r="E141" s="29"/>
      <c r="F141" s="29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" x14ac:dyDescent="0.15">
      <c r="A142" s="28"/>
      <c r="B142" s="28"/>
      <c r="C142" s="28"/>
      <c r="D142" s="28"/>
      <c r="E142" s="29"/>
      <c r="F142" s="29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" x14ac:dyDescent="0.15">
      <c r="A143" s="28"/>
      <c r="B143" s="28"/>
      <c r="C143" s="28"/>
      <c r="D143" s="28"/>
      <c r="E143" s="29"/>
      <c r="F143" s="29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" x14ac:dyDescent="0.15">
      <c r="A144" s="28"/>
      <c r="B144" s="28"/>
      <c r="C144" s="28"/>
      <c r="D144" s="28"/>
      <c r="E144" s="29"/>
      <c r="F144" s="29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" x14ac:dyDescent="0.15">
      <c r="A145" s="28"/>
      <c r="B145" s="28"/>
      <c r="C145" s="28"/>
      <c r="D145" s="28"/>
      <c r="E145" s="29"/>
      <c r="F145" s="29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" x14ac:dyDescent="0.15">
      <c r="A146" s="28"/>
      <c r="B146" s="28"/>
      <c r="C146" s="28"/>
      <c r="D146" s="28"/>
      <c r="E146" s="29"/>
      <c r="F146" s="29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" x14ac:dyDescent="0.15">
      <c r="A147" s="28"/>
      <c r="B147" s="28"/>
      <c r="C147" s="28"/>
      <c r="D147" s="28"/>
      <c r="E147" s="29"/>
      <c r="F147" s="29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" x14ac:dyDescent="0.15">
      <c r="A148" s="28"/>
      <c r="B148" s="28"/>
      <c r="C148" s="28"/>
      <c r="D148" s="28"/>
      <c r="E148" s="29"/>
      <c r="F148" s="29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" x14ac:dyDescent="0.15">
      <c r="A149" s="28"/>
      <c r="B149" s="28"/>
      <c r="C149" s="28"/>
      <c r="D149" s="28"/>
      <c r="E149" s="29"/>
      <c r="F149" s="29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" x14ac:dyDescent="0.15">
      <c r="A150" s="28"/>
      <c r="B150" s="28"/>
      <c r="C150" s="28"/>
      <c r="D150" s="28"/>
      <c r="E150" s="29"/>
      <c r="F150" s="29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" x14ac:dyDescent="0.15">
      <c r="A151" s="28"/>
      <c r="B151" s="28"/>
      <c r="C151" s="28"/>
      <c r="D151" s="28"/>
      <c r="E151" s="29"/>
      <c r="F151" s="29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" x14ac:dyDescent="0.15">
      <c r="A152" s="28"/>
      <c r="B152" s="28"/>
      <c r="C152" s="28"/>
      <c r="D152" s="28"/>
      <c r="E152" s="29"/>
      <c r="F152" s="29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" x14ac:dyDescent="0.15">
      <c r="A153" s="28"/>
      <c r="B153" s="28"/>
      <c r="C153" s="28"/>
      <c r="D153" s="28"/>
      <c r="E153" s="29"/>
      <c r="F153" s="29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" x14ac:dyDescent="0.15">
      <c r="A154" s="28"/>
      <c r="B154" s="28"/>
      <c r="C154" s="28"/>
      <c r="D154" s="28"/>
      <c r="E154" s="29"/>
      <c r="F154" s="29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" x14ac:dyDescent="0.15">
      <c r="A155" s="28"/>
      <c r="B155" s="28"/>
      <c r="C155" s="28"/>
      <c r="D155" s="28"/>
      <c r="E155" s="29"/>
      <c r="F155" s="29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" x14ac:dyDescent="0.15">
      <c r="A156" s="28"/>
      <c r="B156" s="28"/>
      <c r="C156" s="28"/>
      <c r="D156" s="28"/>
      <c r="E156" s="29"/>
      <c r="F156" s="29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" x14ac:dyDescent="0.15">
      <c r="A157" s="28"/>
      <c r="B157" s="28"/>
      <c r="C157" s="28"/>
      <c r="D157" s="28"/>
      <c r="E157" s="29"/>
      <c r="F157" s="29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" x14ac:dyDescent="0.15">
      <c r="A158" s="28"/>
      <c r="B158" s="28"/>
      <c r="C158" s="28"/>
      <c r="D158" s="28"/>
      <c r="E158" s="29"/>
      <c r="F158" s="29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" x14ac:dyDescent="0.15">
      <c r="A159" s="28"/>
      <c r="B159" s="28"/>
      <c r="C159" s="28"/>
      <c r="D159" s="28"/>
      <c r="E159" s="29"/>
      <c r="F159" s="29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" x14ac:dyDescent="0.15">
      <c r="A160" s="28"/>
      <c r="B160" s="28"/>
      <c r="C160" s="28"/>
      <c r="D160" s="28"/>
      <c r="E160" s="29"/>
      <c r="F160" s="29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" x14ac:dyDescent="0.15">
      <c r="A161" s="28"/>
      <c r="B161" s="28"/>
      <c r="C161" s="28"/>
      <c r="D161" s="28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" x14ac:dyDescent="0.15">
      <c r="A162" s="28"/>
      <c r="B162" s="28"/>
      <c r="C162" s="28"/>
      <c r="D162" s="28"/>
      <c r="E162" s="29"/>
      <c r="F162" s="29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" x14ac:dyDescent="0.15">
      <c r="A163" s="28"/>
      <c r="B163" s="28"/>
      <c r="C163" s="28"/>
      <c r="D163" s="28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" x14ac:dyDescent="0.15">
      <c r="A164" s="28"/>
      <c r="B164" s="28"/>
      <c r="C164" s="28"/>
      <c r="D164" s="28"/>
      <c r="E164" s="29"/>
      <c r="F164" s="29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" x14ac:dyDescent="0.15">
      <c r="A165" s="28"/>
      <c r="B165" s="28"/>
      <c r="C165" s="28"/>
      <c r="D165" s="28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" x14ac:dyDescent="0.15">
      <c r="A166" s="28"/>
      <c r="B166" s="28"/>
      <c r="C166" s="28"/>
      <c r="D166" s="28"/>
      <c r="E166" s="29"/>
      <c r="F166" s="29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" x14ac:dyDescent="0.15">
      <c r="A167" s="28"/>
      <c r="B167" s="28"/>
      <c r="C167" s="28"/>
      <c r="D167" s="28"/>
      <c r="E167" s="29"/>
      <c r="F167" s="29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" x14ac:dyDescent="0.15">
      <c r="A168" s="28"/>
      <c r="B168" s="28"/>
      <c r="C168" s="28"/>
      <c r="D168" s="28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" x14ac:dyDescent="0.15">
      <c r="A169" s="28"/>
      <c r="B169" s="28"/>
      <c r="C169" s="28"/>
      <c r="D169" s="28"/>
      <c r="E169" s="29"/>
      <c r="F169" s="29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" x14ac:dyDescent="0.15">
      <c r="A170" s="28"/>
      <c r="B170" s="28"/>
      <c r="C170" s="28"/>
      <c r="D170" s="28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" x14ac:dyDescent="0.15">
      <c r="A171" s="28"/>
      <c r="B171" s="28"/>
      <c r="C171" s="28"/>
      <c r="D171" s="28"/>
      <c r="E171" s="29"/>
      <c r="F171" s="29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" x14ac:dyDescent="0.15">
      <c r="A172" s="28"/>
      <c r="B172" s="28"/>
      <c r="C172" s="28"/>
      <c r="D172" s="28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" x14ac:dyDescent="0.15">
      <c r="A173" s="28"/>
      <c r="B173" s="28"/>
      <c r="C173" s="28"/>
      <c r="D173" s="28"/>
      <c r="E173" s="29"/>
      <c r="F173" s="29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" x14ac:dyDescent="0.15">
      <c r="A174" s="28"/>
      <c r="B174" s="28"/>
      <c r="C174" s="28"/>
      <c r="D174" s="28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" x14ac:dyDescent="0.15">
      <c r="A175" s="28"/>
      <c r="B175" s="28"/>
      <c r="C175" s="28"/>
      <c r="D175" s="28"/>
      <c r="E175" s="29"/>
      <c r="F175" s="29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" x14ac:dyDescent="0.15">
      <c r="A176" s="28"/>
      <c r="B176" s="28"/>
      <c r="C176" s="28"/>
      <c r="D176" s="28"/>
      <c r="E176" s="29"/>
      <c r="F176" s="29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" x14ac:dyDescent="0.15">
      <c r="A177" s="28"/>
      <c r="B177" s="28"/>
      <c r="C177" s="28"/>
      <c r="D177" s="28"/>
      <c r="E177" s="29"/>
      <c r="F177" s="29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" x14ac:dyDescent="0.15">
      <c r="A178" s="28"/>
      <c r="B178" s="28"/>
      <c r="C178" s="28"/>
      <c r="D178" s="28"/>
      <c r="E178" s="29"/>
      <c r="F178" s="29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" x14ac:dyDescent="0.15">
      <c r="A179" s="28"/>
      <c r="B179" s="28"/>
      <c r="C179" s="28"/>
      <c r="D179" s="28"/>
      <c r="E179" s="29"/>
      <c r="F179" s="29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" x14ac:dyDescent="0.15">
      <c r="A180" s="28"/>
      <c r="B180" s="28"/>
      <c r="C180" s="28"/>
      <c r="D180" s="28"/>
      <c r="E180" s="29"/>
      <c r="F180" s="29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" x14ac:dyDescent="0.15">
      <c r="A181" s="28"/>
      <c r="B181" s="28"/>
      <c r="C181" s="28"/>
      <c r="D181" s="28"/>
      <c r="E181" s="29"/>
      <c r="F181" s="29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" x14ac:dyDescent="0.15">
      <c r="A182" s="28"/>
      <c r="B182" s="28"/>
      <c r="C182" s="28"/>
      <c r="D182" s="28"/>
      <c r="E182" s="29"/>
      <c r="F182" s="29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" x14ac:dyDescent="0.15">
      <c r="A183" s="28"/>
      <c r="B183" s="28"/>
      <c r="C183" s="28"/>
      <c r="D183" s="28"/>
      <c r="E183" s="29"/>
      <c r="F183" s="29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" x14ac:dyDescent="0.15">
      <c r="A184" s="28"/>
      <c r="B184" s="28"/>
      <c r="C184" s="28"/>
      <c r="D184" s="28"/>
      <c r="E184" s="29"/>
      <c r="F184" s="29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" x14ac:dyDescent="0.15">
      <c r="A185" s="28"/>
      <c r="B185" s="28"/>
      <c r="C185" s="28"/>
      <c r="D185" s="28"/>
      <c r="E185" s="29"/>
      <c r="F185" s="29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" x14ac:dyDescent="0.15">
      <c r="A186" s="28"/>
      <c r="B186" s="28"/>
      <c r="C186" s="28"/>
      <c r="D186" s="28"/>
      <c r="E186" s="29"/>
      <c r="F186" s="29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" x14ac:dyDescent="0.15">
      <c r="A187" s="28"/>
      <c r="B187" s="28"/>
      <c r="C187" s="28"/>
      <c r="D187" s="28"/>
      <c r="E187" s="29"/>
      <c r="F187" s="29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" x14ac:dyDescent="0.15">
      <c r="A188" s="28"/>
      <c r="B188" s="28"/>
      <c r="C188" s="28"/>
      <c r="D188" s="28"/>
      <c r="E188" s="29"/>
      <c r="F188" s="29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" x14ac:dyDescent="0.15">
      <c r="A189" s="28"/>
      <c r="B189" s="28"/>
      <c r="C189" s="28"/>
      <c r="D189" s="28"/>
      <c r="E189" s="29"/>
      <c r="F189" s="29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" x14ac:dyDescent="0.15">
      <c r="A190" s="28"/>
      <c r="B190" s="28"/>
      <c r="C190" s="28"/>
      <c r="D190" s="28"/>
      <c r="E190" s="29"/>
      <c r="F190" s="29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" x14ac:dyDescent="0.15">
      <c r="A191" s="28"/>
      <c r="B191" s="28"/>
      <c r="C191" s="28"/>
      <c r="D191" s="28"/>
      <c r="E191" s="29"/>
      <c r="F191" s="29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" x14ac:dyDescent="0.15">
      <c r="A192" s="28"/>
      <c r="B192" s="28"/>
      <c r="C192" s="28"/>
      <c r="D192" s="28"/>
      <c r="E192" s="29"/>
      <c r="F192" s="29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" x14ac:dyDescent="0.15">
      <c r="A193" s="28"/>
      <c r="B193" s="28"/>
      <c r="C193" s="28"/>
      <c r="D193" s="28"/>
      <c r="E193" s="29"/>
      <c r="F193" s="29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" x14ac:dyDescent="0.15">
      <c r="A194" s="28"/>
      <c r="B194" s="28"/>
      <c r="C194" s="28"/>
      <c r="D194" s="28"/>
      <c r="E194" s="29"/>
      <c r="F194" s="29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" x14ac:dyDescent="0.15">
      <c r="A195" s="28"/>
      <c r="B195" s="28"/>
      <c r="C195" s="28"/>
      <c r="D195" s="28"/>
      <c r="E195" s="29"/>
      <c r="F195" s="29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" x14ac:dyDescent="0.15">
      <c r="A196" s="28"/>
      <c r="B196" s="28"/>
      <c r="C196" s="28"/>
      <c r="D196" s="28"/>
      <c r="E196" s="29"/>
      <c r="F196" s="29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" x14ac:dyDescent="0.15">
      <c r="A197" s="28"/>
      <c r="B197" s="28"/>
      <c r="C197" s="28"/>
      <c r="D197" s="28"/>
      <c r="E197" s="29"/>
      <c r="F197" s="29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" x14ac:dyDescent="0.15">
      <c r="A198" s="28"/>
      <c r="B198" s="28"/>
      <c r="C198" s="28"/>
      <c r="D198" s="28"/>
      <c r="E198" s="29"/>
      <c r="F198" s="29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" x14ac:dyDescent="0.15">
      <c r="A199" s="28"/>
      <c r="B199" s="28"/>
      <c r="C199" s="28"/>
      <c r="D199" s="28"/>
      <c r="E199" s="29"/>
      <c r="F199" s="29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" x14ac:dyDescent="0.15">
      <c r="A200" s="28"/>
      <c r="B200" s="28"/>
      <c r="C200" s="28"/>
      <c r="D200" s="28"/>
      <c r="E200" s="29"/>
      <c r="F200" s="29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" x14ac:dyDescent="0.15">
      <c r="A201" s="28"/>
      <c r="B201" s="28"/>
      <c r="C201" s="28"/>
      <c r="D201" s="28"/>
      <c r="E201" s="29"/>
      <c r="F201" s="29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" x14ac:dyDescent="0.15">
      <c r="A202" s="28"/>
      <c r="B202" s="28"/>
      <c r="C202" s="28"/>
      <c r="D202" s="28"/>
      <c r="E202" s="29"/>
      <c r="F202" s="29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" x14ac:dyDescent="0.15">
      <c r="A203" s="28"/>
      <c r="B203" s="28"/>
      <c r="C203" s="28"/>
      <c r="D203" s="28"/>
      <c r="E203" s="29"/>
      <c r="F203" s="29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" x14ac:dyDescent="0.15">
      <c r="A204" s="28"/>
      <c r="B204" s="28"/>
      <c r="C204" s="28"/>
      <c r="D204" s="28"/>
      <c r="E204" s="29"/>
      <c r="F204" s="29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" x14ac:dyDescent="0.15">
      <c r="A205" s="28"/>
      <c r="B205" s="28"/>
      <c r="C205" s="28"/>
      <c r="D205" s="28"/>
      <c r="E205" s="29"/>
      <c r="F205" s="29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" x14ac:dyDescent="0.15">
      <c r="A206" s="28"/>
      <c r="B206" s="28"/>
      <c r="C206" s="28"/>
      <c r="D206" s="28"/>
      <c r="E206" s="29"/>
      <c r="F206" s="29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" x14ac:dyDescent="0.15">
      <c r="A207" s="28"/>
      <c r="B207" s="28"/>
      <c r="C207" s="28"/>
      <c r="D207" s="28"/>
      <c r="E207" s="29"/>
      <c r="F207" s="29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" x14ac:dyDescent="0.15">
      <c r="A208" s="28"/>
      <c r="B208" s="28"/>
      <c r="C208" s="28"/>
      <c r="D208" s="28"/>
      <c r="E208" s="29"/>
      <c r="F208" s="29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" x14ac:dyDescent="0.15">
      <c r="A209" s="28"/>
      <c r="B209" s="28"/>
      <c r="C209" s="28"/>
      <c r="D209" s="28"/>
      <c r="E209" s="29"/>
      <c r="F209" s="29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" x14ac:dyDescent="0.15">
      <c r="A210" s="28"/>
      <c r="B210" s="28"/>
      <c r="C210" s="28"/>
      <c r="D210" s="28"/>
      <c r="E210" s="29"/>
      <c r="F210" s="29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" x14ac:dyDescent="0.15">
      <c r="A211" s="28"/>
      <c r="B211" s="28"/>
      <c r="C211" s="28"/>
      <c r="D211" s="28"/>
      <c r="E211" s="29"/>
      <c r="F211" s="29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" x14ac:dyDescent="0.15">
      <c r="A212" s="28"/>
      <c r="B212" s="28"/>
      <c r="C212" s="28"/>
      <c r="D212" s="28"/>
      <c r="E212" s="29"/>
      <c r="F212" s="29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" x14ac:dyDescent="0.15">
      <c r="A213" s="28"/>
      <c r="B213" s="28"/>
      <c r="C213" s="28"/>
      <c r="D213" s="28"/>
      <c r="E213" s="29"/>
      <c r="F213" s="29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" x14ac:dyDescent="0.15">
      <c r="A214" s="28"/>
      <c r="B214" s="28"/>
      <c r="C214" s="28"/>
      <c r="D214" s="28"/>
      <c r="E214" s="29"/>
      <c r="F214" s="29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" x14ac:dyDescent="0.15">
      <c r="A215" s="28"/>
      <c r="B215" s="28"/>
      <c r="C215" s="28"/>
      <c r="D215" s="28"/>
      <c r="E215" s="29"/>
      <c r="F215" s="29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" x14ac:dyDescent="0.15">
      <c r="A216" s="28"/>
      <c r="B216" s="28"/>
      <c r="C216" s="28"/>
      <c r="D216" s="28"/>
      <c r="E216" s="29"/>
      <c r="F216" s="29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" x14ac:dyDescent="0.15">
      <c r="A217" s="28"/>
      <c r="B217" s="28"/>
      <c r="C217" s="28"/>
      <c r="D217" s="28"/>
      <c r="E217" s="29"/>
      <c r="F217" s="29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" x14ac:dyDescent="0.15">
      <c r="A218" s="28"/>
      <c r="B218" s="28"/>
      <c r="C218" s="28"/>
      <c r="D218" s="28"/>
      <c r="E218" s="29"/>
      <c r="F218" s="29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" x14ac:dyDescent="0.15">
      <c r="A219" s="28"/>
      <c r="B219" s="28"/>
      <c r="C219" s="28"/>
      <c r="D219" s="28"/>
      <c r="E219" s="29"/>
      <c r="F219" s="29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" x14ac:dyDescent="0.15">
      <c r="A220" s="28"/>
      <c r="B220" s="28"/>
      <c r="C220" s="28"/>
      <c r="D220" s="28"/>
      <c r="E220" s="29"/>
      <c r="F220" s="29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" x14ac:dyDescent="0.15">
      <c r="A221" s="28"/>
      <c r="B221" s="28"/>
      <c r="C221" s="28"/>
      <c r="D221" s="28"/>
      <c r="E221" s="29"/>
      <c r="F221" s="29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" x14ac:dyDescent="0.15">
      <c r="A222" s="28"/>
      <c r="B222" s="28"/>
      <c r="C222" s="28"/>
      <c r="D222" s="28"/>
      <c r="E222" s="29"/>
      <c r="F222" s="29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" x14ac:dyDescent="0.15">
      <c r="A223" s="28"/>
      <c r="B223" s="28"/>
      <c r="C223" s="28"/>
      <c r="D223" s="28"/>
      <c r="E223" s="29"/>
      <c r="F223" s="29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" x14ac:dyDescent="0.15">
      <c r="A224" s="28"/>
      <c r="B224" s="28"/>
      <c r="C224" s="28"/>
      <c r="D224" s="28"/>
      <c r="E224" s="29"/>
      <c r="F224" s="29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" x14ac:dyDescent="0.15">
      <c r="A225" s="28"/>
      <c r="B225" s="28"/>
      <c r="C225" s="28"/>
      <c r="D225" s="28"/>
      <c r="E225" s="29"/>
      <c r="F225" s="29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" x14ac:dyDescent="0.15">
      <c r="A226" s="28"/>
      <c r="B226" s="28"/>
      <c r="C226" s="28"/>
      <c r="D226" s="28"/>
      <c r="E226" s="29"/>
      <c r="F226" s="29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" x14ac:dyDescent="0.15">
      <c r="A227" s="28"/>
      <c r="B227" s="28"/>
      <c r="C227" s="28"/>
      <c r="D227" s="28"/>
      <c r="E227" s="29"/>
      <c r="F227" s="29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" x14ac:dyDescent="0.15">
      <c r="A228" s="28"/>
      <c r="B228" s="28"/>
      <c r="C228" s="28"/>
      <c r="D228" s="28"/>
      <c r="E228" s="29"/>
      <c r="F228" s="29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" x14ac:dyDescent="0.15">
      <c r="A229" s="28"/>
      <c r="B229" s="28"/>
      <c r="C229" s="28"/>
      <c r="D229" s="28"/>
      <c r="E229" s="29"/>
      <c r="F229" s="29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" x14ac:dyDescent="0.15">
      <c r="A230" s="28"/>
      <c r="B230" s="28"/>
      <c r="C230" s="28"/>
      <c r="D230" s="28"/>
      <c r="E230" s="29"/>
      <c r="F230" s="29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" x14ac:dyDescent="0.15">
      <c r="A231" s="28"/>
      <c r="B231" s="28"/>
      <c r="C231" s="28"/>
      <c r="D231" s="28"/>
      <c r="E231" s="29"/>
      <c r="F231" s="29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" x14ac:dyDescent="0.15">
      <c r="A232" s="28"/>
      <c r="B232" s="28"/>
      <c r="C232" s="28"/>
      <c r="D232" s="28"/>
      <c r="E232" s="29"/>
      <c r="F232" s="29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" x14ac:dyDescent="0.15">
      <c r="A233" s="28"/>
      <c r="B233" s="28"/>
      <c r="C233" s="28"/>
      <c r="D233" s="28"/>
      <c r="E233" s="29"/>
      <c r="F233" s="29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" x14ac:dyDescent="0.15">
      <c r="A234" s="28"/>
      <c r="B234" s="28"/>
      <c r="C234" s="28"/>
      <c r="D234" s="28"/>
      <c r="E234" s="29"/>
      <c r="F234" s="29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" x14ac:dyDescent="0.15">
      <c r="A235" s="28"/>
      <c r="B235" s="28"/>
      <c r="C235" s="28"/>
      <c r="D235" s="28"/>
      <c r="E235" s="29"/>
      <c r="F235" s="29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" x14ac:dyDescent="0.15">
      <c r="A236" s="28"/>
      <c r="B236" s="28"/>
      <c r="C236" s="28"/>
      <c r="D236" s="28"/>
      <c r="E236" s="29"/>
      <c r="F236" s="29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" x14ac:dyDescent="0.15">
      <c r="A237" s="28"/>
      <c r="B237" s="28"/>
      <c r="C237" s="28"/>
      <c r="D237" s="28"/>
      <c r="E237" s="29"/>
      <c r="F237" s="29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" x14ac:dyDescent="0.15">
      <c r="A238" s="28"/>
      <c r="B238" s="28"/>
      <c r="C238" s="28"/>
      <c r="D238" s="28"/>
      <c r="E238" s="29"/>
      <c r="F238" s="29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" x14ac:dyDescent="0.15">
      <c r="A239" s="28"/>
      <c r="B239" s="28"/>
      <c r="C239" s="28"/>
      <c r="D239" s="28"/>
      <c r="E239" s="29"/>
      <c r="F239" s="29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" x14ac:dyDescent="0.15">
      <c r="A240" s="28"/>
      <c r="B240" s="28"/>
      <c r="C240" s="28"/>
      <c r="D240" s="28"/>
      <c r="E240" s="29"/>
      <c r="F240" s="29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" x14ac:dyDescent="0.15">
      <c r="A241" s="28"/>
      <c r="B241" s="28"/>
      <c r="C241" s="28"/>
      <c r="D241" s="28"/>
      <c r="E241" s="29"/>
      <c r="F241" s="29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" x14ac:dyDescent="0.15">
      <c r="A242" s="28"/>
      <c r="B242" s="28"/>
      <c r="C242" s="28"/>
      <c r="D242" s="28"/>
      <c r="E242" s="29"/>
      <c r="F242" s="29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" x14ac:dyDescent="0.15">
      <c r="A243" s="28"/>
      <c r="B243" s="28"/>
      <c r="C243" s="28"/>
      <c r="D243" s="28"/>
      <c r="E243" s="29"/>
      <c r="F243" s="29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" x14ac:dyDescent="0.15">
      <c r="A244" s="28"/>
      <c r="B244" s="28"/>
      <c r="C244" s="28"/>
      <c r="D244" s="28"/>
      <c r="E244" s="29"/>
      <c r="F244" s="29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" x14ac:dyDescent="0.15">
      <c r="A245" s="28"/>
      <c r="B245" s="28"/>
      <c r="C245" s="28"/>
      <c r="D245" s="28"/>
      <c r="E245" s="29"/>
      <c r="F245" s="29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" x14ac:dyDescent="0.15">
      <c r="A246" s="28"/>
      <c r="B246" s="28"/>
      <c r="C246" s="28"/>
      <c r="D246" s="28"/>
      <c r="E246" s="29"/>
      <c r="F246" s="29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" x14ac:dyDescent="0.15">
      <c r="A247" s="28"/>
      <c r="B247" s="28"/>
      <c r="C247" s="28"/>
      <c r="D247" s="28"/>
      <c r="E247" s="29"/>
      <c r="F247" s="29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" x14ac:dyDescent="0.15">
      <c r="A248" s="28"/>
      <c r="B248" s="28"/>
      <c r="C248" s="28"/>
      <c r="D248" s="28"/>
      <c r="E248" s="29"/>
      <c r="F248" s="29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" x14ac:dyDescent="0.15">
      <c r="A249" s="28"/>
      <c r="B249" s="28"/>
      <c r="C249" s="28"/>
      <c r="D249" s="28"/>
      <c r="E249" s="29"/>
      <c r="F249" s="29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" x14ac:dyDescent="0.15">
      <c r="A250" s="28"/>
      <c r="B250" s="28"/>
      <c r="C250" s="28"/>
      <c r="D250" s="28"/>
      <c r="E250" s="29"/>
      <c r="F250" s="29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" x14ac:dyDescent="0.15">
      <c r="A251" s="28"/>
      <c r="B251" s="28"/>
      <c r="C251" s="28"/>
      <c r="D251" s="28"/>
      <c r="E251" s="29"/>
      <c r="F251" s="29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" x14ac:dyDescent="0.15">
      <c r="A252" s="28"/>
      <c r="B252" s="28"/>
      <c r="C252" s="28"/>
      <c r="D252" s="28"/>
      <c r="E252" s="29"/>
      <c r="F252" s="29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" x14ac:dyDescent="0.15">
      <c r="A253" s="28"/>
      <c r="B253" s="28"/>
      <c r="C253" s="28"/>
      <c r="D253" s="28"/>
      <c r="E253" s="29"/>
      <c r="F253" s="29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" x14ac:dyDescent="0.15">
      <c r="A254" s="28"/>
      <c r="B254" s="28"/>
      <c r="C254" s="28"/>
      <c r="D254" s="28"/>
      <c r="E254" s="29"/>
      <c r="F254" s="29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" x14ac:dyDescent="0.15">
      <c r="A255" s="28"/>
      <c r="B255" s="28"/>
      <c r="C255" s="28"/>
      <c r="D255" s="28"/>
      <c r="E255" s="29"/>
      <c r="F255" s="29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" x14ac:dyDescent="0.15">
      <c r="A256" s="28"/>
      <c r="B256" s="28"/>
      <c r="C256" s="28"/>
      <c r="D256" s="28"/>
      <c r="E256" s="29"/>
      <c r="F256" s="29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" x14ac:dyDescent="0.15">
      <c r="A257" s="28"/>
      <c r="B257" s="28"/>
      <c r="C257" s="28"/>
      <c r="D257" s="28"/>
      <c r="E257" s="29"/>
      <c r="F257" s="29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" x14ac:dyDescent="0.15">
      <c r="A258" s="28"/>
      <c r="B258" s="28"/>
      <c r="C258" s="28"/>
      <c r="D258" s="28"/>
      <c r="E258" s="29"/>
      <c r="F258" s="29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" x14ac:dyDescent="0.15">
      <c r="A259" s="28"/>
      <c r="B259" s="28"/>
      <c r="C259" s="28"/>
      <c r="D259" s="28"/>
      <c r="E259" s="29"/>
      <c r="F259" s="29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" x14ac:dyDescent="0.15">
      <c r="A260" s="28"/>
      <c r="B260" s="28"/>
      <c r="C260" s="28"/>
      <c r="D260" s="28"/>
      <c r="E260" s="29"/>
      <c r="F260" s="29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" x14ac:dyDescent="0.15">
      <c r="A261" s="28"/>
      <c r="B261" s="28"/>
      <c r="C261" s="28"/>
      <c r="D261" s="28"/>
      <c r="E261" s="29"/>
      <c r="F261" s="29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" x14ac:dyDescent="0.15">
      <c r="A262" s="28"/>
      <c r="B262" s="28"/>
      <c r="C262" s="28"/>
      <c r="D262" s="28"/>
      <c r="E262" s="29"/>
      <c r="F262" s="29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" x14ac:dyDescent="0.15">
      <c r="A263" s="28"/>
      <c r="B263" s="28"/>
      <c r="C263" s="28"/>
      <c r="D263" s="28"/>
      <c r="E263" s="29"/>
      <c r="F263" s="29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" x14ac:dyDescent="0.15">
      <c r="A264" s="28"/>
      <c r="B264" s="28"/>
      <c r="C264" s="28"/>
      <c r="D264" s="28"/>
      <c r="E264" s="29"/>
      <c r="F264" s="29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" x14ac:dyDescent="0.15">
      <c r="A265" s="28"/>
      <c r="B265" s="28"/>
      <c r="C265" s="28"/>
      <c r="D265" s="28"/>
      <c r="E265" s="29"/>
      <c r="F265" s="29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" x14ac:dyDescent="0.15">
      <c r="A266" s="28"/>
      <c r="B266" s="28"/>
      <c r="C266" s="28"/>
      <c r="D266" s="28"/>
      <c r="E266" s="29"/>
      <c r="F266" s="29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" x14ac:dyDescent="0.15">
      <c r="A267" s="28"/>
      <c r="B267" s="28"/>
      <c r="C267" s="28"/>
      <c r="D267" s="28"/>
      <c r="E267" s="29"/>
      <c r="F267" s="29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" x14ac:dyDescent="0.15">
      <c r="A268" s="28"/>
      <c r="B268" s="28"/>
      <c r="C268" s="28"/>
      <c r="D268" s="28"/>
      <c r="E268" s="29"/>
      <c r="F268" s="29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" x14ac:dyDescent="0.15">
      <c r="A269" s="28"/>
      <c r="B269" s="28"/>
      <c r="C269" s="28"/>
      <c r="D269" s="28"/>
      <c r="E269" s="29"/>
      <c r="F269" s="29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" x14ac:dyDescent="0.15">
      <c r="A270" s="28"/>
      <c r="B270" s="28"/>
      <c r="C270" s="28"/>
      <c r="D270" s="28"/>
      <c r="E270" s="29"/>
      <c r="F270" s="29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" x14ac:dyDescent="0.15">
      <c r="A271" s="28"/>
      <c r="B271" s="28"/>
      <c r="C271" s="28"/>
      <c r="D271" s="28"/>
      <c r="E271" s="29"/>
      <c r="F271" s="29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" x14ac:dyDescent="0.15">
      <c r="A272" s="28"/>
      <c r="B272" s="28"/>
      <c r="C272" s="28"/>
      <c r="D272" s="28"/>
      <c r="E272" s="29"/>
      <c r="F272" s="29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" x14ac:dyDescent="0.15">
      <c r="A273" s="28"/>
      <c r="B273" s="28"/>
      <c r="C273" s="28"/>
      <c r="D273" s="28"/>
      <c r="E273" s="29"/>
      <c r="F273" s="29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" x14ac:dyDescent="0.15">
      <c r="A274" s="28"/>
      <c r="B274" s="28"/>
      <c r="C274" s="28"/>
      <c r="D274" s="28"/>
      <c r="E274" s="29"/>
      <c r="F274" s="29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" x14ac:dyDescent="0.15">
      <c r="A275" s="28"/>
      <c r="B275" s="28"/>
      <c r="C275" s="28"/>
      <c r="D275" s="28"/>
      <c r="E275" s="29"/>
      <c r="F275" s="29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" x14ac:dyDescent="0.15">
      <c r="A276" s="28"/>
      <c r="B276" s="28"/>
      <c r="C276" s="28"/>
      <c r="D276" s="28"/>
      <c r="E276" s="29"/>
      <c r="F276" s="29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" x14ac:dyDescent="0.15">
      <c r="A277" s="28"/>
      <c r="B277" s="28"/>
      <c r="C277" s="28"/>
      <c r="D277" s="28"/>
      <c r="E277" s="29"/>
      <c r="F277" s="29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" x14ac:dyDescent="0.15">
      <c r="A278" s="28"/>
      <c r="B278" s="28"/>
      <c r="C278" s="28"/>
      <c r="D278" s="28"/>
      <c r="E278" s="29"/>
      <c r="F278" s="29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" x14ac:dyDescent="0.15">
      <c r="A279" s="28"/>
      <c r="B279" s="28"/>
      <c r="C279" s="28"/>
      <c r="D279" s="28"/>
      <c r="E279" s="29"/>
      <c r="F279" s="29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" x14ac:dyDescent="0.15">
      <c r="A280" s="28"/>
      <c r="B280" s="28"/>
      <c r="C280" s="28"/>
      <c r="D280" s="28"/>
      <c r="E280" s="29"/>
      <c r="F280" s="29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" x14ac:dyDescent="0.15">
      <c r="A281" s="28"/>
      <c r="B281" s="28"/>
      <c r="C281" s="28"/>
      <c r="D281" s="28"/>
      <c r="E281" s="29"/>
      <c r="F281" s="29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" x14ac:dyDescent="0.15">
      <c r="A282" s="28"/>
      <c r="B282" s="28"/>
      <c r="C282" s="28"/>
      <c r="D282" s="28"/>
      <c r="E282" s="29"/>
      <c r="F282" s="29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" x14ac:dyDescent="0.15">
      <c r="A283" s="28"/>
      <c r="B283" s="28"/>
      <c r="C283" s="28"/>
      <c r="D283" s="28"/>
      <c r="E283" s="29"/>
      <c r="F283" s="29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" x14ac:dyDescent="0.15">
      <c r="A284" s="28"/>
      <c r="B284" s="28"/>
      <c r="C284" s="28"/>
      <c r="D284" s="28"/>
      <c r="E284" s="29"/>
      <c r="F284" s="29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" x14ac:dyDescent="0.15">
      <c r="A285" s="28"/>
      <c r="B285" s="28"/>
      <c r="C285" s="28"/>
      <c r="D285" s="28"/>
      <c r="E285" s="29"/>
      <c r="F285" s="29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" x14ac:dyDescent="0.15">
      <c r="A286" s="28"/>
      <c r="B286" s="28"/>
      <c r="C286" s="28"/>
      <c r="D286" s="28"/>
      <c r="E286" s="29"/>
      <c r="F286" s="29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" x14ac:dyDescent="0.15">
      <c r="A287" s="28"/>
      <c r="B287" s="28"/>
      <c r="C287" s="28"/>
      <c r="D287" s="28"/>
      <c r="E287" s="29"/>
      <c r="F287" s="29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" x14ac:dyDescent="0.15">
      <c r="A288" s="28"/>
      <c r="B288" s="28"/>
      <c r="C288" s="28"/>
      <c r="D288" s="28"/>
      <c r="E288" s="29"/>
      <c r="F288" s="29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" x14ac:dyDescent="0.15">
      <c r="A289" s="28"/>
      <c r="B289" s="28"/>
      <c r="C289" s="28"/>
      <c r="D289" s="28"/>
      <c r="E289" s="29"/>
      <c r="F289" s="29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" x14ac:dyDescent="0.15">
      <c r="A290" s="28"/>
      <c r="B290" s="28"/>
      <c r="C290" s="28"/>
      <c r="D290" s="28"/>
      <c r="E290" s="29"/>
      <c r="F290" s="29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" x14ac:dyDescent="0.15">
      <c r="A291" s="28"/>
      <c r="B291" s="28"/>
      <c r="C291" s="28"/>
      <c r="D291" s="28"/>
      <c r="E291" s="29"/>
      <c r="F291" s="29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" x14ac:dyDescent="0.15">
      <c r="A292" s="28"/>
      <c r="B292" s="28"/>
      <c r="C292" s="28"/>
      <c r="D292" s="28"/>
      <c r="E292" s="29"/>
      <c r="F292" s="29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" x14ac:dyDescent="0.15">
      <c r="A293" s="28"/>
      <c r="B293" s="28"/>
      <c r="C293" s="28"/>
      <c r="D293" s="28"/>
      <c r="E293" s="29"/>
      <c r="F293" s="29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" x14ac:dyDescent="0.15">
      <c r="A294" s="28"/>
      <c r="B294" s="28"/>
      <c r="C294" s="28"/>
      <c r="D294" s="28"/>
      <c r="E294" s="29"/>
      <c r="F294" s="29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" x14ac:dyDescent="0.15">
      <c r="A295" s="28"/>
      <c r="B295" s="28"/>
      <c r="C295" s="28"/>
      <c r="D295" s="28"/>
      <c r="E295" s="29"/>
      <c r="F295" s="29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" x14ac:dyDescent="0.15">
      <c r="A296" s="28"/>
      <c r="B296" s="28"/>
      <c r="C296" s="28"/>
      <c r="D296" s="28"/>
      <c r="E296" s="29"/>
      <c r="F296" s="29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" x14ac:dyDescent="0.15">
      <c r="A297" s="28"/>
      <c r="B297" s="28"/>
      <c r="C297" s="28"/>
      <c r="D297" s="28"/>
      <c r="E297" s="29"/>
      <c r="F297" s="29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" x14ac:dyDescent="0.15">
      <c r="A298" s="28"/>
      <c r="B298" s="28"/>
      <c r="C298" s="28"/>
      <c r="D298" s="28"/>
      <c r="E298" s="29"/>
      <c r="F298" s="29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" x14ac:dyDescent="0.15">
      <c r="A299" s="28"/>
      <c r="B299" s="28"/>
      <c r="C299" s="28"/>
      <c r="D299" s="28"/>
      <c r="E299" s="29"/>
      <c r="F299" s="29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" x14ac:dyDescent="0.15">
      <c r="A300" s="28"/>
      <c r="B300" s="28"/>
      <c r="C300" s="28"/>
      <c r="D300" s="28"/>
      <c r="E300" s="29"/>
      <c r="F300" s="29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" x14ac:dyDescent="0.15">
      <c r="A301" s="28"/>
      <c r="B301" s="28"/>
      <c r="C301" s="28"/>
      <c r="D301" s="28"/>
      <c r="E301" s="29"/>
      <c r="F301" s="29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" x14ac:dyDescent="0.15">
      <c r="A302" s="28"/>
      <c r="B302" s="28"/>
      <c r="C302" s="28"/>
      <c r="D302" s="28"/>
      <c r="E302" s="29"/>
      <c r="F302" s="29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" x14ac:dyDescent="0.15">
      <c r="A303" s="28"/>
      <c r="B303" s="28"/>
      <c r="C303" s="28"/>
      <c r="D303" s="28"/>
      <c r="E303" s="29"/>
      <c r="F303" s="29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" x14ac:dyDescent="0.15">
      <c r="A304" s="28"/>
      <c r="B304" s="28"/>
      <c r="C304" s="28"/>
      <c r="D304" s="28"/>
      <c r="E304" s="29"/>
      <c r="F304" s="29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" x14ac:dyDescent="0.15">
      <c r="A305" s="28"/>
      <c r="B305" s="28"/>
      <c r="C305" s="28"/>
      <c r="D305" s="28"/>
      <c r="E305" s="29"/>
      <c r="F305" s="29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" x14ac:dyDescent="0.15">
      <c r="A306" s="28"/>
      <c r="B306" s="28"/>
      <c r="C306" s="28"/>
      <c r="D306" s="28"/>
      <c r="E306" s="29"/>
      <c r="F306" s="29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" x14ac:dyDescent="0.15">
      <c r="A307" s="28"/>
      <c r="B307" s="28"/>
      <c r="C307" s="28"/>
      <c r="D307" s="28"/>
      <c r="E307" s="29"/>
      <c r="F307" s="29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" x14ac:dyDescent="0.15">
      <c r="A308" s="28"/>
      <c r="B308" s="28"/>
      <c r="C308" s="28"/>
      <c r="D308" s="28"/>
      <c r="E308" s="29"/>
      <c r="F308" s="29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" x14ac:dyDescent="0.15">
      <c r="A309" s="28"/>
      <c r="B309" s="28"/>
      <c r="C309" s="28"/>
      <c r="D309" s="28"/>
      <c r="E309" s="29"/>
      <c r="F309" s="29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" x14ac:dyDescent="0.15">
      <c r="A310" s="28"/>
      <c r="B310" s="28"/>
      <c r="C310" s="28"/>
      <c r="D310" s="28"/>
      <c r="E310" s="29"/>
      <c r="F310" s="29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" x14ac:dyDescent="0.15">
      <c r="A311" s="28"/>
      <c r="B311" s="28"/>
      <c r="C311" s="28"/>
      <c r="D311" s="28"/>
      <c r="E311" s="29"/>
      <c r="F311" s="29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" x14ac:dyDescent="0.15">
      <c r="A312" s="28"/>
      <c r="B312" s="28"/>
      <c r="C312" s="28"/>
      <c r="D312" s="28"/>
      <c r="E312" s="29"/>
      <c r="F312" s="29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" x14ac:dyDescent="0.15">
      <c r="A313" s="28"/>
      <c r="B313" s="28"/>
      <c r="C313" s="28"/>
      <c r="D313" s="28"/>
      <c r="E313" s="29"/>
      <c r="F313" s="29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" x14ac:dyDescent="0.15">
      <c r="A314" s="28"/>
      <c r="B314" s="28"/>
      <c r="C314" s="28"/>
      <c r="D314" s="28"/>
      <c r="E314" s="29"/>
      <c r="F314" s="29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" x14ac:dyDescent="0.15">
      <c r="A315" s="28"/>
      <c r="B315" s="28"/>
      <c r="C315" s="28"/>
      <c r="D315" s="28"/>
      <c r="E315" s="29"/>
      <c r="F315" s="29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" x14ac:dyDescent="0.15">
      <c r="A316" s="28"/>
      <c r="B316" s="28"/>
      <c r="C316" s="28"/>
      <c r="D316" s="28"/>
      <c r="E316" s="29"/>
      <c r="F316" s="29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" x14ac:dyDescent="0.15">
      <c r="A317" s="28"/>
      <c r="B317" s="28"/>
      <c r="C317" s="28"/>
      <c r="D317" s="28"/>
      <c r="E317" s="29"/>
      <c r="F317" s="29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" x14ac:dyDescent="0.15">
      <c r="A318" s="28"/>
      <c r="B318" s="28"/>
      <c r="C318" s="28"/>
      <c r="D318" s="28"/>
      <c r="E318" s="29"/>
      <c r="F318" s="29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" x14ac:dyDescent="0.15">
      <c r="A319" s="28"/>
      <c r="B319" s="28"/>
      <c r="C319" s="28"/>
      <c r="D319" s="28"/>
      <c r="E319" s="29"/>
      <c r="F319" s="29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" x14ac:dyDescent="0.15">
      <c r="A320" s="28"/>
      <c r="B320" s="28"/>
      <c r="C320" s="28"/>
      <c r="D320" s="28"/>
      <c r="E320" s="29"/>
      <c r="F320" s="29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" x14ac:dyDescent="0.15">
      <c r="A321" s="28"/>
      <c r="B321" s="28"/>
      <c r="C321" s="28"/>
      <c r="D321" s="28"/>
      <c r="E321" s="29"/>
      <c r="F321" s="29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" x14ac:dyDescent="0.15">
      <c r="A322" s="28"/>
      <c r="B322" s="28"/>
      <c r="C322" s="28"/>
      <c r="D322" s="28"/>
      <c r="E322" s="29"/>
      <c r="F322" s="29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" x14ac:dyDescent="0.15">
      <c r="A323" s="28"/>
      <c r="B323" s="28"/>
      <c r="C323" s="28"/>
      <c r="D323" s="28"/>
      <c r="E323" s="29"/>
      <c r="F323" s="29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" x14ac:dyDescent="0.15">
      <c r="A324" s="28"/>
      <c r="B324" s="28"/>
      <c r="C324" s="28"/>
      <c r="D324" s="28"/>
      <c r="E324" s="29"/>
      <c r="F324" s="29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" x14ac:dyDescent="0.15">
      <c r="A325" s="28"/>
      <c r="B325" s="28"/>
      <c r="C325" s="28"/>
      <c r="D325" s="28"/>
      <c r="E325" s="29"/>
      <c r="F325" s="29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" x14ac:dyDescent="0.15">
      <c r="A326" s="28"/>
      <c r="B326" s="28"/>
      <c r="C326" s="28"/>
      <c r="D326" s="28"/>
      <c r="E326" s="29"/>
      <c r="F326" s="29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" x14ac:dyDescent="0.15">
      <c r="A327" s="28"/>
      <c r="B327" s="28"/>
      <c r="C327" s="28"/>
      <c r="D327" s="28"/>
      <c r="E327" s="29"/>
      <c r="F327" s="29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" x14ac:dyDescent="0.15">
      <c r="A328" s="28"/>
      <c r="B328" s="28"/>
      <c r="C328" s="28"/>
      <c r="D328" s="28"/>
      <c r="E328" s="29"/>
      <c r="F328" s="29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" x14ac:dyDescent="0.15">
      <c r="A329" s="28"/>
      <c r="B329" s="28"/>
      <c r="C329" s="28"/>
      <c r="D329" s="28"/>
      <c r="E329" s="29"/>
      <c r="F329" s="29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" x14ac:dyDescent="0.15">
      <c r="A330" s="28"/>
      <c r="B330" s="28"/>
      <c r="C330" s="28"/>
      <c r="D330" s="28"/>
      <c r="E330" s="29"/>
      <c r="F330" s="29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" x14ac:dyDescent="0.15">
      <c r="A331" s="28"/>
      <c r="B331" s="28"/>
      <c r="C331" s="28"/>
      <c r="D331" s="28"/>
      <c r="E331" s="29"/>
      <c r="F331" s="29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" x14ac:dyDescent="0.15">
      <c r="A332" s="28"/>
      <c r="B332" s="28"/>
      <c r="C332" s="28"/>
      <c r="D332" s="28"/>
      <c r="E332" s="29"/>
      <c r="F332" s="29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" x14ac:dyDescent="0.15">
      <c r="A333" s="28"/>
      <c r="B333" s="28"/>
      <c r="C333" s="28"/>
      <c r="D333" s="28"/>
      <c r="E333" s="29"/>
      <c r="F333" s="29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" x14ac:dyDescent="0.15">
      <c r="A334" s="28"/>
      <c r="B334" s="28"/>
      <c r="C334" s="28"/>
      <c r="D334" s="28"/>
      <c r="E334" s="29"/>
      <c r="F334" s="29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" x14ac:dyDescent="0.15">
      <c r="A335" s="28"/>
      <c r="B335" s="28"/>
      <c r="C335" s="28"/>
      <c r="D335" s="28"/>
      <c r="E335" s="29"/>
      <c r="F335" s="29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" x14ac:dyDescent="0.15">
      <c r="A336" s="28"/>
      <c r="B336" s="28"/>
      <c r="C336" s="28"/>
      <c r="D336" s="28"/>
      <c r="E336" s="29"/>
      <c r="F336" s="29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" x14ac:dyDescent="0.15">
      <c r="A337" s="28"/>
      <c r="B337" s="28"/>
      <c r="C337" s="28"/>
      <c r="D337" s="28"/>
      <c r="E337" s="29"/>
      <c r="F337" s="29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" x14ac:dyDescent="0.15">
      <c r="A338" s="28"/>
      <c r="B338" s="28"/>
      <c r="C338" s="28"/>
      <c r="D338" s="28"/>
      <c r="E338" s="29"/>
      <c r="F338" s="29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" x14ac:dyDescent="0.15">
      <c r="A339" s="28"/>
      <c r="B339" s="28"/>
      <c r="C339" s="28"/>
      <c r="D339" s="28"/>
      <c r="E339" s="29"/>
      <c r="F339" s="29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" x14ac:dyDescent="0.15">
      <c r="A340" s="28"/>
      <c r="B340" s="28"/>
      <c r="C340" s="28"/>
      <c r="D340" s="28"/>
      <c r="E340" s="29"/>
      <c r="F340" s="29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" x14ac:dyDescent="0.15">
      <c r="A341" s="28"/>
      <c r="B341" s="28"/>
      <c r="C341" s="28"/>
      <c r="D341" s="28"/>
      <c r="E341" s="29"/>
      <c r="F341" s="29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" x14ac:dyDescent="0.15">
      <c r="A342" s="28"/>
      <c r="B342" s="28"/>
      <c r="C342" s="28"/>
      <c r="D342" s="28"/>
      <c r="E342" s="29"/>
      <c r="F342" s="29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" x14ac:dyDescent="0.15">
      <c r="A343" s="28"/>
      <c r="B343" s="28"/>
      <c r="C343" s="28"/>
      <c r="D343" s="28"/>
      <c r="E343" s="29"/>
      <c r="F343" s="29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" x14ac:dyDescent="0.15">
      <c r="A344" s="28"/>
      <c r="B344" s="28"/>
      <c r="C344" s="28"/>
      <c r="D344" s="28"/>
      <c r="E344" s="29"/>
      <c r="F344" s="29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" x14ac:dyDescent="0.15">
      <c r="A345" s="28"/>
      <c r="B345" s="28"/>
      <c r="C345" s="28"/>
      <c r="D345" s="28"/>
      <c r="E345" s="29"/>
      <c r="F345" s="29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" x14ac:dyDescent="0.15">
      <c r="A346" s="28"/>
      <c r="B346" s="28"/>
      <c r="C346" s="28"/>
      <c r="D346" s="28"/>
      <c r="E346" s="29"/>
      <c r="F346" s="29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" x14ac:dyDescent="0.15">
      <c r="A347" s="28"/>
      <c r="B347" s="28"/>
      <c r="C347" s="28"/>
      <c r="D347" s="28"/>
      <c r="E347" s="29"/>
      <c r="F347" s="29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" x14ac:dyDescent="0.15">
      <c r="A348" s="28"/>
      <c r="B348" s="28"/>
      <c r="C348" s="28"/>
      <c r="D348" s="28"/>
      <c r="E348" s="29"/>
      <c r="F348" s="29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" x14ac:dyDescent="0.15">
      <c r="A349" s="28"/>
      <c r="B349" s="28"/>
      <c r="C349" s="28"/>
      <c r="D349" s="28"/>
      <c r="E349" s="29"/>
      <c r="F349" s="29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" x14ac:dyDescent="0.15">
      <c r="A350" s="28"/>
      <c r="B350" s="28"/>
      <c r="C350" s="28"/>
      <c r="D350" s="28"/>
      <c r="E350" s="29"/>
      <c r="F350" s="29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" x14ac:dyDescent="0.15">
      <c r="A351" s="28"/>
      <c r="B351" s="28"/>
      <c r="C351" s="28"/>
      <c r="D351" s="28"/>
      <c r="E351" s="29"/>
      <c r="F351" s="29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" x14ac:dyDescent="0.15">
      <c r="A352" s="28"/>
      <c r="B352" s="28"/>
      <c r="C352" s="28"/>
      <c r="D352" s="28"/>
      <c r="E352" s="29"/>
      <c r="F352" s="29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" x14ac:dyDescent="0.15">
      <c r="A353" s="28"/>
      <c r="B353" s="28"/>
      <c r="C353" s="28"/>
      <c r="D353" s="28"/>
      <c r="E353" s="29"/>
      <c r="F353" s="29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" x14ac:dyDescent="0.15">
      <c r="A354" s="28"/>
      <c r="B354" s="28"/>
      <c r="C354" s="28"/>
      <c r="D354" s="28"/>
      <c r="E354" s="29"/>
      <c r="F354" s="29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" x14ac:dyDescent="0.15">
      <c r="A355" s="28"/>
      <c r="B355" s="28"/>
      <c r="C355" s="28"/>
      <c r="D355" s="28"/>
      <c r="E355" s="29"/>
      <c r="F355" s="29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" x14ac:dyDescent="0.15">
      <c r="A356" s="28"/>
      <c r="B356" s="28"/>
      <c r="C356" s="28"/>
      <c r="D356" s="28"/>
      <c r="E356" s="29"/>
      <c r="F356" s="29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" x14ac:dyDescent="0.15">
      <c r="A357" s="28"/>
      <c r="B357" s="28"/>
      <c r="C357" s="28"/>
      <c r="D357" s="28"/>
      <c r="E357" s="29"/>
      <c r="F357" s="29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" x14ac:dyDescent="0.15">
      <c r="A358" s="28"/>
      <c r="B358" s="28"/>
      <c r="C358" s="28"/>
      <c r="D358" s="28"/>
      <c r="E358" s="29"/>
      <c r="F358" s="29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" x14ac:dyDescent="0.15">
      <c r="A359" s="28"/>
      <c r="B359" s="28"/>
      <c r="C359" s="28"/>
      <c r="D359" s="28"/>
      <c r="E359" s="29"/>
      <c r="F359" s="29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" x14ac:dyDescent="0.15">
      <c r="A360" s="28"/>
      <c r="B360" s="28"/>
      <c r="C360" s="28"/>
      <c r="D360" s="28"/>
      <c r="E360" s="29"/>
      <c r="F360" s="29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" x14ac:dyDescent="0.15">
      <c r="A361" s="28"/>
      <c r="B361" s="28"/>
      <c r="C361" s="28"/>
      <c r="D361" s="28"/>
      <c r="E361" s="29"/>
      <c r="F361" s="29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" x14ac:dyDescent="0.15">
      <c r="A362" s="28"/>
      <c r="B362" s="28"/>
      <c r="C362" s="28"/>
      <c r="D362" s="28"/>
      <c r="E362" s="29"/>
      <c r="F362" s="29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" x14ac:dyDescent="0.15">
      <c r="A363" s="28"/>
      <c r="B363" s="28"/>
      <c r="C363" s="28"/>
      <c r="D363" s="28"/>
      <c r="E363" s="29"/>
      <c r="F363" s="29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" x14ac:dyDescent="0.15">
      <c r="A364" s="28"/>
      <c r="B364" s="28"/>
      <c r="C364" s="28"/>
      <c r="D364" s="28"/>
      <c r="E364" s="29"/>
      <c r="F364" s="29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" x14ac:dyDescent="0.15">
      <c r="A365" s="28"/>
      <c r="B365" s="28"/>
      <c r="C365" s="28"/>
      <c r="D365" s="28"/>
      <c r="E365" s="29"/>
      <c r="F365" s="29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" x14ac:dyDescent="0.15">
      <c r="A366" s="28"/>
      <c r="B366" s="28"/>
      <c r="C366" s="28"/>
      <c r="D366" s="28"/>
      <c r="E366" s="29"/>
      <c r="F366" s="29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" x14ac:dyDescent="0.15">
      <c r="A367" s="28"/>
      <c r="B367" s="28"/>
      <c r="C367" s="28"/>
      <c r="D367" s="28"/>
      <c r="E367" s="29"/>
      <c r="F367" s="29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" x14ac:dyDescent="0.15">
      <c r="A368" s="28"/>
      <c r="B368" s="28"/>
      <c r="C368" s="28"/>
      <c r="D368" s="28"/>
      <c r="E368" s="29"/>
      <c r="F368" s="29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" x14ac:dyDescent="0.15">
      <c r="A369" s="28"/>
      <c r="B369" s="28"/>
      <c r="C369" s="28"/>
      <c r="D369" s="28"/>
      <c r="E369" s="29"/>
      <c r="F369" s="29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" x14ac:dyDescent="0.15">
      <c r="A370" s="28"/>
      <c r="B370" s="28"/>
      <c r="C370" s="28"/>
      <c r="D370" s="28"/>
      <c r="E370" s="29"/>
      <c r="F370" s="29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" x14ac:dyDescent="0.15">
      <c r="A371" s="28"/>
      <c r="B371" s="28"/>
      <c r="C371" s="28"/>
      <c r="D371" s="28"/>
      <c r="E371" s="29"/>
      <c r="F371" s="29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" x14ac:dyDescent="0.15">
      <c r="A372" s="28"/>
      <c r="B372" s="28"/>
      <c r="C372" s="28"/>
      <c r="D372" s="28"/>
      <c r="E372" s="29"/>
      <c r="F372" s="29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" x14ac:dyDescent="0.15">
      <c r="A373" s="28"/>
      <c r="B373" s="28"/>
      <c r="C373" s="28"/>
      <c r="D373" s="28"/>
      <c r="E373" s="29"/>
      <c r="F373" s="29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" x14ac:dyDescent="0.15">
      <c r="A374" s="28"/>
      <c r="B374" s="28"/>
      <c r="C374" s="28"/>
      <c r="D374" s="28"/>
      <c r="E374" s="29"/>
      <c r="F374" s="29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" x14ac:dyDescent="0.15">
      <c r="A375" s="28"/>
      <c r="B375" s="28"/>
      <c r="C375" s="28"/>
      <c r="D375" s="28"/>
      <c r="E375" s="29"/>
      <c r="F375" s="29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" x14ac:dyDescent="0.15">
      <c r="A376" s="28"/>
      <c r="B376" s="28"/>
      <c r="C376" s="28"/>
      <c r="D376" s="28"/>
      <c r="E376" s="29"/>
      <c r="F376" s="29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" x14ac:dyDescent="0.15">
      <c r="A377" s="28"/>
      <c r="B377" s="28"/>
      <c r="C377" s="28"/>
      <c r="D377" s="28"/>
      <c r="E377" s="29"/>
      <c r="F377" s="29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" x14ac:dyDescent="0.15">
      <c r="A378" s="28"/>
      <c r="B378" s="28"/>
      <c r="C378" s="28"/>
      <c r="D378" s="28"/>
      <c r="E378" s="29"/>
      <c r="F378" s="29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" x14ac:dyDescent="0.15">
      <c r="A379" s="28"/>
      <c r="B379" s="28"/>
      <c r="C379" s="28"/>
      <c r="D379" s="28"/>
      <c r="E379" s="29"/>
      <c r="F379" s="29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" x14ac:dyDescent="0.15">
      <c r="A380" s="28"/>
      <c r="B380" s="28"/>
      <c r="C380" s="28"/>
      <c r="D380" s="28"/>
      <c r="E380" s="29"/>
      <c r="F380" s="29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" x14ac:dyDescent="0.15">
      <c r="A381" s="28"/>
      <c r="B381" s="28"/>
      <c r="C381" s="28"/>
      <c r="D381" s="28"/>
      <c r="E381" s="29"/>
      <c r="F381" s="29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" x14ac:dyDescent="0.15">
      <c r="A382" s="28"/>
      <c r="B382" s="28"/>
      <c r="C382" s="28"/>
      <c r="D382" s="28"/>
      <c r="E382" s="29"/>
      <c r="F382" s="29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" x14ac:dyDescent="0.15">
      <c r="A383" s="28"/>
      <c r="B383" s="28"/>
      <c r="C383" s="28"/>
      <c r="D383" s="28"/>
      <c r="E383" s="29"/>
      <c r="F383" s="29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" x14ac:dyDescent="0.15">
      <c r="A384" s="28"/>
      <c r="B384" s="28"/>
      <c r="C384" s="28"/>
      <c r="D384" s="28"/>
      <c r="E384" s="29"/>
      <c r="F384" s="29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" x14ac:dyDescent="0.15">
      <c r="A385" s="28"/>
      <c r="B385" s="28"/>
      <c r="C385" s="28"/>
      <c r="D385" s="28"/>
      <c r="E385" s="29"/>
      <c r="F385" s="29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" x14ac:dyDescent="0.15">
      <c r="A386" s="28"/>
      <c r="B386" s="28"/>
      <c r="C386" s="28"/>
      <c r="D386" s="28"/>
      <c r="E386" s="29"/>
      <c r="F386" s="29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" x14ac:dyDescent="0.15">
      <c r="A387" s="28"/>
      <c r="B387" s="28"/>
      <c r="C387" s="28"/>
      <c r="D387" s="28"/>
      <c r="E387" s="29"/>
      <c r="F387" s="29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" x14ac:dyDescent="0.15">
      <c r="A388" s="28"/>
      <c r="B388" s="28"/>
      <c r="C388" s="28"/>
      <c r="D388" s="28"/>
      <c r="E388" s="29"/>
      <c r="F388" s="29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" x14ac:dyDescent="0.15">
      <c r="A389" s="28"/>
      <c r="B389" s="28"/>
      <c r="C389" s="28"/>
      <c r="D389" s="28"/>
      <c r="E389" s="29"/>
      <c r="F389" s="29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" x14ac:dyDescent="0.15">
      <c r="A390" s="28"/>
      <c r="B390" s="28"/>
      <c r="C390" s="28"/>
      <c r="D390" s="28"/>
      <c r="E390" s="29"/>
      <c r="F390" s="29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" x14ac:dyDescent="0.15">
      <c r="A391" s="28"/>
      <c r="B391" s="28"/>
      <c r="C391" s="28"/>
      <c r="D391" s="28"/>
      <c r="E391" s="29"/>
      <c r="F391" s="29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" x14ac:dyDescent="0.15">
      <c r="A392" s="28"/>
      <c r="B392" s="28"/>
      <c r="C392" s="28"/>
      <c r="D392" s="28"/>
      <c r="E392" s="29"/>
      <c r="F392" s="29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" x14ac:dyDescent="0.15">
      <c r="A393" s="28"/>
      <c r="B393" s="28"/>
      <c r="C393" s="28"/>
      <c r="D393" s="28"/>
      <c r="E393" s="29"/>
      <c r="F393" s="29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" x14ac:dyDescent="0.15">
      <c r="A394" s="28"/>
      <c r="B394" s="28"/>
      <c r="C394" s="28"/>
      <c r="D394" s="28"/>
      <c r="E394" s="29"/>
      <c r="F394" s="29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" x14ac:dyDescent="0.15">
      <c r="A395" s="28"/>
      <c r="B395" s="28"/>
      <c r="C395" s="28"/>
      <c r="D395" s="28"/>
      <c r="E395" s="29"/>
      <c r="F395" s="29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" x14ac:dyDescent="0.15">
      <c r="A396" s="28"/>
      <c r="B396" s="28"/>
      <c r="C396" s="28"/>
      <c r="D396" s="28"/>
      <c r="E396" s="29"/>
      <c r="F396" s="29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" x14ac:dyDescent="0.15">
      <c r="A397" s="28"/>
      <c r="B397" s="28"/>
      <c r="C397" s="28"/>
      <c r="D397" s="28"/>
      <c r="E397" s="29"/>
      <c r="F397" s="29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" x14ac:dyDescent="0.15">
      <c r="A398" s="28"/>
      <c r="B398" s="28"/>
      <c r="C398" s="28"/>
      <c r="D398" s="28"/>
      <c r="E398" s="29"/>
      <c r="F398" s="29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" x14ac:dyDescent="0.15">
      <c r="A399" s="28"/>
      <c r="B399" s="28"/>
      <c r="C399" s="28"/>
      <c r="D399" s="28"/>
      <c r="E399" s="29"/>
      <c r="F399" s="29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" x14ac:dyDescent="0.15">
      <c r="A400" s="28"/>
      <c r="B400" s="28"/>
      <c r="C400" s="28"/>
      <c r="D400" s="28"/>
      <c r="E400" s="29"/>
      <c r="F400" s="29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" x14ac:dyDescent="0.15">
      <c r="A401" s="28"/>
      <c r="B401" s="28"/>
      <c r="C401" s="28"/>
      <c r="D401" s="28"/>
      <c r="E401" s="29"/>
      <c r="F401" s="29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" x14ac:dyDescent="0.15">
      <c r="A402" s="28"/>
      <c r="B402" s="28"/>
      <c r="C402" s="28"/>
      <c r="D402" s="28"/>
      <c r="E402" s="29"/>
      <c r="F402" s="29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" x14ac:dyDescent="0.15">
      <c r="A403" s="28"/>
      <c r="B403" s="28"/>
      <c r="C403" s="28"/>
      <c r="D403" s="28"/>
      <c r="E403" s="29"/>
      <c r="F403" s="29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" x14ac:dyDescent="0.15">
      <c r="A404" s="28"/>
      <c r="B404" s="28"/>
      <c r="C404" s="28"/>
      <c r="D404" s="28"/>
      <c r="E404" s="29"/>
      <c r="F404" s="29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" x14ac:dyDescent="0.15">
      <c r="A405" s="28"/>
      <c r="B405" s="28"/>
      <c r="C405" s="28"/>
      <c r="D405" s="28"/>
      <c r="E405" s="29"/>
      <c r="F405" s="29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" x14ac:dyDescent="0.15">
      <c r="A406" s="28"/>
      <c r="B406" s="28"/>
      <c r="C406" s="28"/>
      <c r="D406" s="28"/>
      <c r="E406" s="29"/>
      <c r="F406" s="29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" x14ac:dyDescent="0.15">
      <c r="A407" s="28"/>
      <c r="B407" s="28"/>
      <c r="C407" s="28"/>
      <c r="D407" s="28"/>
      <c r="E407" s="29"/>
      <c r="F407" s="29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" x14ac:dyDescent="0.15">
      <c r="A408" s="28"/>
      <c r="B408" s="28"/>
      <c r="C408" s="28"/>
      <c r="D408" s="28"/>
      <c r="E408" s="29"/>
      <c r="F408" s="29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" x14ac:dyDescent="0.15">
      <c r="A409" s="28"/>
      <c r="B409" s="28"/>
      <c r="C409" s="28"/>
      <c r="D409" s="28"/>
      <c r="E409" s="29"/>
      <c r="F409" s="29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" x14ac:dyDescent="0.15">
      <c r="A410" s="28"/>
      <c r="B410" s="28"/>
      <c r="C410" s="28"/>
      <c r="D410" s="28"/>
      <c r="E410" s="29"/>
      <c r="F410" s="29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" x14ac:dyDescent="0.15">
      <c r="A411" s="28"/>
      <c r="B411" s="28"/>
      <c r="C411" s="28"/>
      <c r="D411" s="28"/>
      <c r="E411" s="29"/>
      <c r="F411" s="29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" x14ac:dyDescent="0.15">
      <c r="A412" s="28"/>
      <c r="B412" s="28"/>
      <c r="C412" s="28"/>
      <c r="D412" s="28"/>
      <c r="E412" s="29"/>
      <c r="F412" s="29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" x14ac:dyDescent="0.15">
      <c r="A413" s="28"/>
      <c r="B413" s="28"/>
      <c r="C413" s="28"/>
      <c r="D413" s="28"/>
      <c r="E413" s="29"/>
      <c r="F413" s="29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" x14ac:dyDescent="0.15">
      <c r="A414" s="28"/>
      <c r="B414" s="28"/>
      <c r="C414" s="28"/>
      <c r="D414" s="28"/>
      <c r="E414" s="29"/>
      <c r="F414" s="29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" x14ac:dyDescent="0.15">
      <c r="A415" s="28"/>
      <c r="B415" s="28"/>
      <c r="C415" s="28"/>
      <c r="D415" s="28"/>
      <c r="E415" s="29"/>
      <c r="F415" s="29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" x14ac:dyDescent="0.15">
      <c r="A416" s="28"/>
      <c r="B416" s="28"/>
      <c r="C416" s="28"/>
      <c r="D416" s="28"/>
      <c r="E416" s="29"/>
      <c r="F416" s="29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" x14ac:dyDescent="0.15">
      <c r="A417" s="28"/>
      <c r="B417" s="28"/>
      <c r="C417" s="28"/>
      <c r="D417" s="28"/>
      <c r="E417" s="29"/>
      <c r="F417" s="29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" x14ac:dyDescent="0.15">
      <c r="A418" s="28"/>
      <c r="B418" s="28"/>
      <c r="C418" s="28"/>
      <c r="D418" s="28"/>
      <c r="E418" s="29"/>
      <c r="F418" s="29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" x14ac:dyDescent="0.15">
      <c r="A419" s="28"/>
      <c r="B419" s="28"/>
      <c r="C419" s="28"/>
      <c r="D419" s="28"/>
      <c r="E419" s="29"/>
      <c r="F419" s="29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" x14ac:dyDescent="0.15">
      <c r="A420" s="28"/>
      <c r="B420" s="28"/>
      <c r="C420" s="28"/>
      <c r="D420" s="28"/>
      <c r="E420" s="29"/>
      <c r="F420" s="29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" x14ac:dyDescent="0.15">
      <c r="A421" s="28"/>
      <c r="B421" s="28"/>
      <c r="C421" s="28"/>
      <c r="D421" s="28"/>
      <c r="E421" s="29"/>
      <c r="F421" s="29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" x14ac:dyDescent="0.15">
      <c r="A422" s="28"/>
      <c r="B422" s="28"/>
      <c r="C422" s="28"/>
      <c r="D422" s="28"/>
      <c r="E422" s="29"/>
      <c r="F422" s="29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" x14ac:dyDescent="0.15">
      <c r="A423" s="28"/>
      <c r="B423" s="28"/>
      <c r="C423" s="28"/>
      <c r="D423" s="28"/>
      <c r="E423" s="29"/>
      <c r="F423" s="29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" x14ac:dyDescent="0.15">
      <c r="A424" s="28"/>
      <c r="B424" s="28"/>
      <c r="C424" s="28"/>
      <c r="D424" s="28"/>
      <c r="E424" s="29"/>
      <c r="F424" s="29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" x14ac:dyDescent="0.15">
      <c r="A425" s="28"/>
      <c r="B425" s="28"/>
      <c r="C425" s="28"/>
      <c r="D425" s="28"/>
      <c r="E425" s="29"/>
      <c r="F425" s="29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" x14ac:dyDescent="0.15">
      <c r="A426" s="28"/>
      <c r="B426" s="28"/>
      <c r="C426" s="28"/>
      <c r="D426" s="28"/>
      <c r="E426" s="29"/>
      <c r="F426" s="29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" x14ac:dyDescent="0.15">
      <c r="A427" s="28"/>
      <c r="B427" s="28"/>
      <c r="C427" s="28"/>
      <c r="D427" s="28"/>
      <c r="E427" s="29"/>
      <c r="F427" s="29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" x14ac:dyDescent="0.15">
      <c r="A428" s="28"/>
      <c r="B428" s="28"/>
      <c r="C428" s="28"/>
      <c r="D428" s="28"/>
      <c r="E428" s="29"/>
      <c r="F428" s="29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" x14ac:dyDescent="0.15">
      <c r="A429" s="28"/>
      <c r="B429" s="28"/>
      <c r="C429" s="28"/>
      <c r="D429" s="28"/>
      <c r="E429" s="29"/>
      <c r="F429" s="29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" x14ac:dyDescent="0.15">
      <c r="A430" s="28"/>
      <c r="B430" s="28"/>
      <c r="C430" s="28"/>
      <c r="D430" s="28"/>
      <c r="E430" s="29"/>
      <c r="F430" s="29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" x14ac:dyDescent="0.15">
      <c r="A431" s="28"/>
      <c r="B431" s="28"/>
      <c r="C431" s="28"/>
      <c r="D431" s="28"/>
      <c r="E431" s="29"/>
      <c r="F431" s="29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" x14ac:dyDescent="0.15">
      <c r="A432" s="28"/>
      <c r="B432" s="28"/>
      <c r="C432" s="28"/>
      <c r="D432" s="28"/>
      <c r="E432" s="29"/>
      <c r="F432" s="29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" x14ac:dyDescent="0.15">
      <c r="A433" s="28"/>
      <c r="B433" s="28"/>
      <c r="C433" s="28"/>
      <c r="D433" s="28"/>
      <c r="E433" s="29"/>
      <c r="F433" s="29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" x14ac:dyDescent="0.15">
      <c r="A434" s="28"/>
      <c r="B434" s="28"/>
      <c r="C434" s="28"/>
      <c r="D434" s="28"/>
      <c r="E434" s="29"/>
      <c r="F434" s="29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" x14ac:dyDescent="0.15">
      <c r="A435" s="28"/>
      <c r="B435" s="28"/>
      <c r="C435" s="28"/>
      <c r="D435" s="28"/>
      <c r="E435" s="29"/>
      <c r="F435" s="29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" x14ac:dyDescent="0.15">
      <c r="A436" s="28"/>
      <c r="B436" s="28"/>
      <c r="C436" s="28"/>
      <c r="D436" s="28"/>
      <c r="E436" s="29"/>
      <c r="F436" s="29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" x14ac:dyDescent="0.15">
      <c r="A437" s="28"/>
      <c r="B437" s="28"/>
      <c r="C437" s="28"/>
      <c r="D437" s="28"/>
      <c r="E437" s="29"/>
      <c r="F437" s="29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" x14ac:dyDescent="0.15">
      <c r="A438" s="28"/>
      <c r="B438" s="28"/>
      <c r="C438" s="28"/>
      <c r="D438" s="28"/>
      <c r="E438" s="29"/>
      <c r="F438" s="29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" x14ac:dyDescent="0.15">
      <c r="A439" s="28"/>
      <c r="B439" s="28"/>
      <c r="C439" s="28"/>
      <c r="D439" s="28"/>
      <c r="E439" s="29"/>
      <c r="F439" s="29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" x14ac:dyDescent="0.15">
      <c r="A440" s="28"/>
      <c r="B440" s="28"/>
      <c r="C440" s="28"/>
      <c r="D440" s="28"/>
      <c r="E440" s="29"/>
      <c r="F440" s="29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" x14ac:dyDescent="0.15">
      <c r="A441" s="28"/>
      <c r="B441" s="28"/>
      <c r="C441" s="28"/>
      <c r="D441" s="28"/>
      <c r="E441" s="29"/>
      <c r="F441" s="29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" x14ac:dyDescent="0.15">
      <c r="A442" s="28"/>
      <c r="B442" s="28"/>
      <c r="C442" s="28"/>
      <c r="D442" s="28"/>
      <c r="E442" s="29"/>
      <c r="F442" s="29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" x14ac:dyDescent="0.15">
      <c r="A443" s="28"/>
      <c r="B443" s="28"/>
      <c r="C443" s="28"/>
      <c r="D443" s="28"/>
      <c r="E443" s="29"/>
      <c r="F443" s="29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" x14ac:dyDescent="0.15">
      <c r="A444" s="28"/>
      <c r="B444" s="28"/>
      <c r="C444" s="28"/>
      <c r="D444" s="28"/>
      <c r="E444" s="29"/>
      <c r="F444" s="29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" x14ac:dyDescent="0.15">
      <c r="A445" s="28"/>
      <c r="B445" s="28"/>
      <c r="C445" s="28"/>
      <c r="D445" s="28"/>
      <c r="E445" s="29"/>
      <c r="F445" s="29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" x14ac:dyDescent="0.15">
      <c r="A446" s="28"/>
      <c r="B446" s="28"/>
      <c r="C446" s="28"/>
      <c r="D446" s="28"/>
      <c r="E446" s="29"/>
      <c r="F446" s="29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" x14ac:dyDescent="0.15">
      <c r="A447" s="28"/>
      <c r="B447" s="28"/>
      <c r="C447" s="28"/>
      <c r="D447" s="28"/>
      <c r="E447" s="29"/>
      <c r="F447" s="29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" x14ac:dyDescent="0.15">
      <c r="A448" s="28"/>
      <c r="B448" s="28"/>
      <c r="C448" s="28"/>
      <c r="D448" s="28"/>
      <c r="E448" s="29"/>
      <c r="F448" s="29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" x14ac:dyDescent="0.15">
      <c r="A449" s="28"/>
      <c r="B449" s="28"/>
      <c r="C449" s="28"/>
      <c r="D449" s="28"/>
      <c r="E449" s="29"/>
      <c r="F449" s="29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" x14ac:dyDescent="0.15">
      <c r="A450" s="28"/>
      <c r="B450" s="28"/>
      <c r="C450" s="28"/>
      <c r="D450" s="28"/>
      <c r="E450" s="29"/>
      <c r="F450" s="29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" x14ac:dyDescent="0.15">
      <c r="A451" s="28"/>
      <c r="B451" s="28"/>
      <c r="C451" s="28"/>
      <c r="D451" s="28"/>
      <c r="E451" s="29"/>
      <c r="F451" s="29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" x14ac:dyDescent="0.15">
      <c r="A452" s="28"/>
      <c r="B452" s="28"/>
      <c r="C452" s="28"/>
      <c r="D452" s="28"/>
      <c r="E452" s="29"/>
      <c r="F452" s="29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" x14ac:dyDescent="0.15">
      <c r="A453" s="28"/>
      <c r="B453" s="28"/>
      <c r="C453" s="28"/>
      <c r="D453" s="28"/>
      <c r="E453" s="29"/>
      <c r="F453" s="29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" x14ac:dyDescent="0.15">
      <c r="A454" s="28"/>
      <c r="B454" s="28"/>
      <c r="C454" s="28"/>
      <c r="D454" s="28"/>
      <c r="E454" s="29"/>
      <c r="F454" s="29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" x14ac:dyDescent="0.15">
      <c r="A455" s="28"/>
      <c r="B455" s="28"/>
      <c r="C455" s="28"/>
      <c r="D455" s="28"/>
      <c r="E455" s="29"/>
      <c r="F455" s="29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" x14ac:dyDescent="0.15">
      <c r="A456" s="28"/>
      <c r="B456" s="28"/>
      <c r="C456" s="28"/>
      <c r="D456" s="28"/>
      <c r="E456" s="29"/>
      <c r="F456" s="29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" x14ac:dyDescent="0.15">
      <c r="A457" s="28"/>
      <c r="B457" s="28"/>
      <c r="C457" s="28"/>
      <c r="D457" s="28"/>
      <c r="E457" s="29"/>
      <c r="F457" s="29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" x14ac:dyDescent="0.15">
      <c r="A458" s="28"/>
      <c r="B458" s="28"/>
      <c r="C458" s="28"/>
      <c r="D458" s="28"/>
      <c r="E458" s="29"/>
      <c r="F458" s="29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" x14ac:dyDescent="0.15">
      <c r="A459" s="28"/>
      <c r="B459" s="28"/>
      <c r="C459" s="28"/>
      <c r="D459" s="28"/>
      <c r="E459" s="29"/>
      <c r="F459" s="29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" x14ac:dyDescent="0.15">
      <c r="A460" s="28"/>
      <c r="B460" s="28"/>
      <c r="C460" s="28"/>
      <c r="D460" s="28"/>
      <c r="E460" s="29"/>
      <c r="F460" s="29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" x14ac:dyDescent="0.15">
      <c r="A461" s="28"/>
      <c r="B461" s="28"/>
      <c r="C461" s="28"/>
      <c r="D461" s="28"/>
      <c r="E461" s="29"/>
      <c r="F461" s="29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" x14ac:dyDescent="0.15">
      <c r="A462" s="28"/>
      <c r="B462" s="28"/>
      <c r="C462" s="28"/>
      <c r="D462" s="28"/>
      <c r="E462" s="29"/>
      <c r="F462" s="29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" x14ac:dyDescent="0.15">
      <c r="A463" s="28"/>
      <c r="B463" s="28"/>
      <c r="C463" s="28"/>
      <c r="D463" s="28"/>
      <c r="E463" s="29"/>
      <c r="F463" s="29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" x14ac:dyDescent="0.15">
      <c r="A464" s="28"/>
      <c r="B464" s="28"/>
      <c r="C464" s="28"/>
      <c r="D464" s="28"/>
      <c r="E464" s="29"/>
      <c r="F464" s="29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" x14ac:dyDescent="0.15">
      <c r="A465" s="28"/>
      <c r="B465" s="28"/>
      <c r="C465" s="28"/>
      <c r="D465" s="28"/>
      <c r="E465" s="29"/>
      <c r="F465" s="29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" x14ac:dyDescent="0.15">
      <c r="A466" s="28"/>
      <c r="B466" s="28"/>
      <c r="C466" s="28"/>
      <c r="D466" s="28"/>
      <c r="E466" s="29"/>
      <c r="F466" s="29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" x14ac:dyDescent="0.15">
      <c r="A467" s="28"/>
      <c r="B467" s="28"/>
      <c r="C467" s="28"/>
      <c r="D467" s="28"/>
      <c r="E467" s="29"/>
      <c r="F467" s="29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" x14ac:dyDescent="0.15">
      <c r="A468" s="28"/>
      <c r="B468" s="28"/>
      <c r="C468" s="28"/>
      <c r="D468" s="28"/>
      <c r="E468" s="29"/>
      <c r="F468" s="29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" x14ac:dyDescent="0.15">
      <c r="A469" s="28"/>
      <c r="B469" s="28"/>
      <c r="C469" s="28"/>
      <c r="D469" s="28"/>
      <c r="E469" s="29"/>
      <c r="F469" s="29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" x14ac:dyDescent="0.15">
      <c r="A470" s="28"/>
      <c r="B470" s="28"/>
      <c r="C470" s="28"/>
      <c r="D470" s="28"/>
      <c r="E470" s="29"/>
      <c r="F470" s="29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" x14ac:dyDescent="0.15">
      <c r="A471" s="28"/>
      <c r="B471" s="28"/>
      <c r="C471" s="28"/>
      <c r="D471" s="28"/>
      <c r="E471" s="29"/>
      <c r="F471" s="29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" x14ac:dyDescent="0.15">
      <c r="A472" s="28"/>
      <c r="B472" s="28"/>
      <c r="C472" s="28"/>
      <c r="D472" s="28"/>
      <c r="E472" s="29"/>
      <c r="F472" s="29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" x14ac:dyDescent="0.15">
      <c r="A473" s="28"/>
      <c r="B473" s="28"/>
      <c r="C473" s="28"/>
      <c r="D473" s="28"/>
      <c r="E473" s="29"/>
      <c r="F473" s="29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" x14ac:dyDescent="0.15">
      <c r="A474" s="28"/>
      <c r="B474" s="28"/>
      <c r="C474" s="28"/>
      <c r="D474" s="28"/>
      <c r="E474" s="29"/>
      <c r="F474" s="29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" x14ac:dyDescent="0.15">
      <c r="A475" s="28"/>
      <c r="B475" s="28"/>
      <c r="C475" s="28"/>
      <c r="D475" s="28"/>
      <c r="E475" s="29"/>
      <c r="F475" s="29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" x14ac:dyDescent="0.15">
      <c r="A476" s="28"/>
      <c r="B476" s="28"/>
      <c r="C476" s="28"/>
      <c r="D476" s="28"/>
      <c r="E476" s="29"/>
      <c r="F476" s="29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" x14ac:dyDescent="0.15">
      <c r="A477" s="28"/>
      <c r="B477" s="28"/>
      <c r="C477" s="28"/>
      <c r="D477" s="28"/>
      <c r="E477" s="29"/>
      <c r="F477" s="29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" x14ac:dyDescent="0.15">
      <c r="A478" s="28"/>
      <c r="B478" s="28"/>
      <c r="C478" s="28"/>
      <c r="D478" s="28"/>
      <c r="E478" s="29"/>
      <c r="F478" s="29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" x14ac:dyDescent="0.15">
      <c r="A479" s="28"/>
      <c r="B479" s="28"/>
      <c r="C479" s="28"/>
      <c r="D479" s="28"/>
      <c r="E479" s="29"/>
      <c r="F479" s="29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" x14ac:dyDescent="0.15">
      <c r="A480" s="28"/>
      <c r="B480" s="28"/>
      <c r="C480" s="28"/>
      <c r="D480" s="28"/>
      <c r="E480" s="29"/>
      <c r="F480" s="29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" x14ac:dyDescent="0.15">
      <c r="A481" s="28"/>
      <c r="B481" s="28"/>
      <c r="C481" s="28"/>
      <c r="D481" s="28"/>
      <c r="E481" s="29"/>
      <c r="F481" s="29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" x14ac:dyDescent="0.15">
      <c r="A482" s="28"/>
      <c r="B482" s="28"/>
      <c r="C482" s="28"/>
      <c r="D482" s="28"/>
      <c r="E482" s="29"/>
      <c r="F482" s="29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" x14ac:dyDescent="0.15">
      <c r="A483" s="28"/>
      <c r="B483" s="28"/>
      <c r="C483" s="28"/>
      <c r="D483" s="28"/>
      <c r="E483" s="29"/>
      <c r="F483" s="29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" x14ac:dyDescent="0.15">
      <c r="A484" s="28"/>
      <c r="B484" s="28"/>
      <c r="C484" s="28"/>
      <c r="D484" s="28"/>
      <c r="E484" s="29"/>
      <c r="F484" s="29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" x14ac:dyDescent="0.15">
      <c r="A485" s="28"/>
      <c r="B485" s="28"/>
      <c r="C485" s="28"/>
      <c r="D485" s="28"/>
      <c r="E485" s="29"/>
      <c r="F485" s="29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" x14ac:dyDescent="0.15">
      <c r="A486" s="28"/>
      <c r="B486" s="28"/>
      <c r="C486" s="28"/>
      <c r="D486" s="28"/>
      <c r="E486" s="29"/>
      <c r="F486" s="29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" x14ac:dyDescent="0.15">
      <c r="A487" s="28"/>
      <c r="B487" s="28"/>
      <c r="C487" s="28"/>
      <c r="D487" s="28"/>
      <c r="E487" s="29"/>
      <c r="F487" s="29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" x14ac:dyDescent="0.15">
      <c r="A488" s="28"/>
      <c r="B488" s="28"/>
      <c r="C488" s="28"/>
      <c r="D488" s="28"/>
      <c r="E488" s="29"/>
      <c r="F488" s="29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" x14ac:dyDescent="0.15">
      <c r="A489" s="28"/>
      <c r="B489" s="28"/>
      <c r="C489" s="28"/>
      <c r="D489" s="28"/>
      <c r="E489" s="29"/>
      <c r="F489" s="29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" x14ac:dyDescent="0.15">
      <c r="A490" s="28"/>
      <c r="B490" s="28"/>
      <c r="C490" s="28"/>
      <c r="D490" s="28"/>
      <c r="E490" s="29"/>
      <c r="F490" s="29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" x14ac:dyDescent="0.15">
      <c r="A491" s="28"/>
      <c r="B491" s="28"/>
      <c r="C491" s="28"/>
      <c r="D491" s="28"/>
      <c r="E491" s="29"/>
      <c r="F491" s="29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" x14ac:dyDescent="0.15">
      <c r="A492" s="28"/>
      <c r="B492" s="28"/>
      <c r="C492" s="28"/>
      <c r="D492" s="28"/>
      <c r="E492" s="29"/>
      <c r="F492" s="29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" x14ac:dyDescent="0.15">
      <c r="A493" s="28"/>
      <c r="B493" s="28"/>
      <c r="C493" s="28"/>
      <c r="D493" s="28"/>
      <c r="E493" s="29"/>
      <c r="F493" s="29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" x14ac:dyDescent="0.15">
      <c r="A494" s="28"/>
      <c r="B494" s="28"/>
      <c r="C494" s="28"/>
      <c r="D494" s="28"/>
      <c r="E494" s="29"/>
      <c r="F494" s="29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" x14ac:dyDescent="0.15">
      <c r="A495" s="28"/>
      <c r="B495" s="28"/>
      <c r="C495" s="28"/>
      <c r="D495" s="28"/>
      <c r="E495" s="29"/>
      <c r="F495" s="29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" x14ac:dyDescent="0.15">
      <c r="A496" s="28"/>
      <c r="B496" s="28"/>
      <c r="C496" s="28"/>
      <c r="D496" s="28"/>
      <c r="E496" s="29"/>
      <c r="F496" s="29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" x14ac:dyDescent="0.15">
      <c r="A497" s="28"/>
      <c r="B497" s="28"/>
      <c r="C497" s="28"/>
      <c r="D497" s="28"/>
      <c r="E497" s="29"/>
      <c r="F497" s="29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" x14ac:dyDescent="0.15">
      <c r="A498" s="28"/>
      <c r="B498" s="28"/>
      <c r="C498" s="28"/>
      <c r="D498" s="28"/>
      <c r="E498" s="29"/>
      <c r="F498" s="29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" x14ac:dyDescent="0.15">
      <c r="A499" s="28"/>
      <c r="B499" s="28"/>
      <c r="C499" s="28"/>
      <c r="D499" s="28"/>
      <c r="E499" s="29"/>
      <c r="F499" s="29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" x14ac:dyDescent="0.15">
      <c r="A500" s="28"/>
      <c r="B500" s="28"/>
      <c r="C500" s="28"/>
      <c r="D500" s="28"/>
      <c r="E500" s="29"/>
      <c r="F500" s="29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" x14ac:dyDescent="0.15">
      <c r="A501" s="28"/>
      <c r="B501" s="28"/>
      <c r="C501" s="28"/>
      <c r="D501" s="28"/>
      <c r="E501" s="29"/>
      <c r="F501" s="29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" x14ac:dyDescent="0.15">
      <c r="A502" s="28"/>
      <c r="B502" s="28"/>
      <c r="C502" s="28"/>
      <c r="D502" s="28"/>
      <c r="E502" s="29"/>
      <c r="F502" s="29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" x14ac:dyDescent="0.15">
      <c r="A503" s="28"/>
      <c r="B503" s="28"/>
      <c r="C503" s="28"/>
      <c r="D503" s="28"/>
      <c r="E503" s="29"/>
      <c r="F503" s="29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" x14ac:dyDescent="0.15">
      <c r="A504" s="28"/>
      <c r="B504" s="28"/>
      <c r="C504" s="28"/>
      <c r="D504" s="28"/>
      <c r="E504" s="29"/>
      <c r="F504" s="29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" x14ac:dyDescent="0.15">
      <c r="A505" s="28"/>
      <c r="B505" s="28"/>
      <c r="C505" s="28"/>
      <c r="D505" s="28"/>
      <c r="E505" s="29"/>
      <c r="F505" s="29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" x14ac:dyDescent="0.15">
      <c r="A506" s="28"/>
      <c r="B506" s="28"/>
      <c r="C506" s="28"/>
      <c r="D506" s="28"/>
      <c r="E506" s="29"/>
      <c r="F506" s="29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" x14ac:dyDescent="0.15">
      <c r="A507" s="28"/>
      <c r="B507" s="28"/>
      <c r="C507" s="28"/>
      <c r="D507" s="28"/>
      <c r="E507" s="29"/>
      <c r="F507" s="29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" x14ac:dyDescent="0.15">
      <c r="A508" s="28"/>
      <c r="B508" s="28"/>
      <c r="C508" s="28"/>
      <c r="D508" s="28"/>
      <c r="E508" s="29"/>
      <c r="F508" s="29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" x14ac:dyDescent="0.15">
      <c r="A509" s="28"/>
      <c r="B509" s="28"/>
      <c r="C509" s="28"/>
      <c r="D509" s="28"/>
      <c r="E509" s="29"/>
      <c r="F509" s="29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" x14ac:dyDescent="0.15">
      <c r="A510" s="28"/>
      <c r="B510" s="28"/>
      <c r="C510" s="28"/>
      <c r="D510" s="28"/>
      <c r="E510" s="29"/>
      <c r="F510" s="29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" x14ac:dyDescent="0.15">
      <c r="A511" s="28"/>
      <c r="B511" s="28"/>
      <c r="C511" s="28"/>
      <c r="D511" s="28"/>
      <c r="E511" s="29"/>
      <c r="F511" s="29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" x14ac:dyDescent="0.15">
      <c r="A512" s="28"/>
      <c r="B512" s="28"/>
      <c r="C512" s="28"/>
      <c r="D512" s="28"/>
      <c r="E512" s="29"/>
      <c r="F512" s="29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" x14ac:dyDescent="0.15">
      <c r="A513" s="28"/>
      <c r="B513" s="28"/>
      <c r="C513" s="28"/>
      <c r="D513" s="28"/>
      <c r="E513" s="29"/>
      <c r="F513" s="29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" x14ac:dyDescent="0.15">
      <c r="A514" s="28"/>
      <c r="B514" s="28"/>
      <c r="C514" s="28"/>
      <c r="D514" s="28"/>
      <c r="E514" s="29"/>
      <c r="F514" s="29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" x14ac:dyDescent="0.15">
      <c r="A515" s="28"/>
      <c r="B515" s="28"/>
      <c r="C515" s="28"/>
      <c r="D515" s="28"/>
      <c r="E515" s="29"/>
      <c r="F515" s="29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" x14ac:dyDescent="0.15">
      <c r="A516" s="28"/>
      <c r="B516" s="28"/>
      <c r="C516" s="28"/>
      <c r="D516" s="28"/>
      <c r="E516" s="29"/>
      <c r="F516" s="29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" x14ac:dyDescent="0.15">
      <c r="A517" s="28"/>
      <c r="B517" s="28"/>
      <c r="C517" s="28"/>
      <c r="D517" s="28"/>
      <c r="E517" s="29"/>
      <c r="F517" s="29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" x14ac:dyDescent="0.15">
      <c r="A518" s="28"/>
      <c r="B518" s="28"/>
      <c r="C518" s="28"/>
      <c r="D518" s="28"/>
      <c r="E518" s="29"/>
      <c r="F518" s="29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" x14ac:dyDescent="0.15">
      <c r="A519" s="28"/>
      <c r="B519" s="28"/>
      <c r="C519" s="28"/>
      <c r="D519" s="28"/>
      <c r="E519" s="29"/>
      <c r="F519" s="29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" x14ac:dyDescent="0.15">
      <c r="A520" s="28"/>
      <c r="B520" s="28"/>
      <c r="C520" s="28"/>
      <c r="D520" s="28"/>
      <c r="E520" s="29"/>
      <c r="F520" s="29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" x14ac:dyDescent="0.15">
      <c r="A521" s="28"/>
      <c r="B521" s="28"/>
      <c r="C521" s="28"/>
      <c r="D521" s="28"/>
      <c r="E521" s="29"/>
      <c r="F521" s="29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" x14ac:dyDescent="0.15">
      <c r="A522" s="28"/>
      <c r="B522" s="28"/>
      <c r="C522" s="28"/>
      <c r="D522" s="28"/>
      <c r="E522" s="29"/>
      <c r="F522" s="29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" x14ac:dyDescent="0.15">
      <c r="A523" s="28"/>
      <c r="B523" s="28"/>
      <c r="C523" s="28"/>
      <c r="D523" s="28"/>
      <c r="E523" s="29"/>
      <c r="F523" s="29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" x14ac:dyDescent="0.15">
      <c r="A524" s="28"/>
      <c r="B524" s="28"/>
      <c r="C524" s="28"/>
      <c r="D524" s="28"/>
      <c r="E524" s="29"/>
      <c r="F524" s="29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" x14ac:dyDescent="0.15">
      <c r="A525" s="28"/>
      <c r="B525" s="28"/>
      <c r="C525" s="28"/>
      <c r="D525" s="28"/>
      <c r="E525" s="29"/>
      <c r="F525" s="29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" x14ac:dyDescent="0.15">
      <c r="A526" s="28"/>
      <c r="B526" s="28"/>
      <c r="C526" s="28"/>
      <c r="D526" s="28"/>
      <c r="E526" s="29"/>
      <c r="F526" s="29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" x14ac:dyDescent="0.15">
      <c r="A527" s="28"/>
      <c r="B527" s="28"/>
      <c r="C527" s="28"/>
      <c r="D527" s="28"/>
      <c r="E527" s="29"/>
      <c r="F527" s="29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" x14ac:dyDescent="0.15">
      <c r="A528" s="28"/>
      <c r="B528" s="28"/>
      <c r="C528" s="28"/>
      <c r="D528" s="28"/>
      <c r="E528" s="29"/>
      <c r="F528" s="29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" x14ac:dyDescent="0.15">
      <c r="A529" s="28"/>
      <c r="B529" s="28"/>
      <c r="C529" s="28"/>
      <c r="D529" s="28"/>
      <c r="E529" s="29"/>
      <c r="F529" s="29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" x14ac:dyDescent="0.15">
      <c r="A530" s="28"/>
      <c r="B530" s="28"/>
      <c r="C530" s="28"/>
      <c r="D530" s="28"/>
      <c r="E530" s="29"/>
      <c r="F530" s="29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" x14ac:dyDescent="0.15">
      <c r="A531" s="28"/>
      <c r="B531" s="28"/>
      <c r="C531" s="28"/>
      <c r="D531" s="28"/>
      <c r="E531" s="29"/>
      <c r="F531" s="29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" x14ac:dyDescent="0.15">
      <c r="A532" s="28"/>
      <c r="B532" s="28"/>
      <c r="C532" s="28"/>
      <c r="D532" s="28"/>
      <c r="E532" s="29"/>
      <c r="F532" s="29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" x14ac:dyDescent="0.15">
      <c r="A533" s="28"/>
      <c r="B533" s="28"/>
      <c r="C533" s="28"/>
      <c r="D533" s="28"/>
      <c r="E533" s="29"/>
      <c r="F533" s="29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" x14ac:dyDescent="0.15">
      <c r="A534" s="28"/>
      <c r="B534" s="28"/>
      <c r="C534" s="28"/>
      <c r="D534" s="28"/>
      <c r="E534" s="29"/>
      <c r="F534" s="29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" x14ac:dyDescent="0.15">
      <c r="A535" s="28"/>
      <c r="B535" s="28"/>
      <c r="C535" s="28"/>
      <c r="D535" s="28"/>
      <c r="E535" s="29"/>
      <c r="F535" s="29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" x14ac:dyDescent="0.15">
      <c r="A536" s="28"/>
      <c r="B536" s="28"/>
      <c r="C536" s="28"/>
      <c r="D536" s="28"/>
      <c r="E536" s="29"/>
      <c r="F536" s="29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" x14ac:dyDescent="0.15">
      <c r="A537" s="28"/>
      <c r="B537" s="28"/>
      <c r="C537" s="28"/>
      <c r="D537" s="28"/>
      <c r="E537" s="29"/>
      <c r="F537" s="29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" x14ac:dyDescent="0.15">
      <c r="A538" s="28"/>
      <c r="B538" s="28"/>
      <c r="C538" s="28"/>
      <c r="D538" s="28"/>
      <c r="E538" s="29"/>
      <c r="F538" s="29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" x14ac:dyDescent="0.15">
      <c r="A539" s="28"/>
      <c r="B539" s="28"/>
      <c r="C539" s="28"/>
      <c r="D539" s="28"/>
      <c r="E539" s="29"/>
      <c r="F539" s="29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" x14ac:dyDescent="0.15">
      <c r="A540" s="28"/>
      <c r="B540" s="28"/>
      <c r="C540" s="28"/>
      <c r="D540" s="28"/>
      <c r="E540" s="29"/>
      <c r="F540" s="29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" x14ac:dyDescent="0.15">
      <c r="A541" s="28"/>
      <c r="B541" s="28"/>
      <c r="C541" s="28"/>
      <c r="D541" s="28"/>
      <c r="E541" s="29"/>
      <c r="F541" s="29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" x14ac:dyDescent="0.15">
      <c r="A542" s="28"/>
      <c r="B542" s="28"/>
      <c r="C542" s="28"/>
      <c r="D542" s="28"/>
      <c r="E542" s="29"/>
      <c r="F542" s="29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" x14ac:dyDescent="0.15">
      <c r="A543" s="28"/>
      <c r="B543" s="28"/>
      <c r="C543" s="28"/>
      <c r="D543" s="28"/>
      <c r="E543" s="29"/>
      <c r="F543" s="29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" x14ac:dyDescent="0.15">
      <c r="A544" s="28"/>
      <c r="B544" s="28"/>
      <c r="C544" s="28"/>
      <c r="D544" s="28"/>
      <c r="E544" s="29"/>
      <c r="F544" s="29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" x14ac:dyDescent="0.15">
      <c r="A545" s="28"/>
      <c r="B545" s="28"/>
      <c r="C545" s="28"/>
      <c r="D545" s="28"/>
      <c r="E545" s="29"/>
      <c r="F545" s="29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" x14ac:dyDescent="0.15">
      <c r="A546" s="28"/>
      <c r="B546" s="28"/>
      <c r="C546" s="28"/>
      <c r="D546" s="28"/>
      <c r="E546" s="29"/>
      <c r="F546" s="29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" x14ac:dyDescent="0.15">
      <c r="A547" s="28"/>
      <c r="B547" s="28"/>
      <c r="C547" s="28"/>
      <c r="D547" s="28"/>
      <c r="E547" s="29"/>
      <c r="F547" s="29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" x14ac:dyDescent="0.15">
      <c r="A548" s="28"/>
      <c r="B548" s="28"/>
      <c r="C548" s="28"/>
      <c r="D548" s="28"/>
      <c r="E548" s="29"/>
      <c r="F548" s="29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" x14ac:dyDescent="0.15">
      <c r="A549" s="28"/>
      <c r="B549" s="28"/>
      <c r="C549" s="28"/>
      <c r="D549" s="28"/>
      <c r="E549" s="29"/>
      <c r="F549" s="29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" x14ac:dyDescent="0.15">
      <c r="A550" s="28"/>
      <c r="B550" s="28"/>
      <c r="C550" s="28"/>
      <c r="D550" s="28"/>
      <c r="E550" s="29"/>
      <c r="F550" s="29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" x14ac:dyDescent="0.15">
      <c r="A551" s="28"/>
      <c r="B551" s="28"/>
      <c r="C551" s="28"/>
      <c r="D551" s="28"/>
      <c r="E551" s="29"/>
      <c r="F551" s="29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" x14ac:dyDescent="0.15">
      <c r="A552" s="28"/>
      <c r="B552" s="28"/>
      <c r="C552" s="28"/>
      <c r="D552" s="28"/>
      <c r="E552" s="29"/>
      <c r="F552" s="29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" x14ac:dyDescent="0.15">
      <c r="A553" s="28"/>
      <c r="B553" s="28"/>
      <c r="C553" s="28"/>
      <c r="D553" s="28"/>
      <c r="E553" s="29"/>
      <c r="F553" s="29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" x14ac:dyDescent="0.15">
      <c r="A554" s="28"/>
      <c r="B554" s="28"/>
      <c r="C554" s="28"/>
      <c r="D554" s="28"/>
      <c r="E554" s="29"/>
      <c r="F554" s="29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" x14ac:dyDescent="0.15">
      <c r="A555" s="28"/>
      <c r="B555" s="28"/>
      <c r="C555" s="28"/>
      <c r="D555" s="28"/>
      <c r="E555" s="29"/>
      <c r="F555" s="29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" x14ac:dyDescent="0.15">
      <c r="A556" s="28"/>
      <c r="B556" s="28"/>
      <c r="C556" s="28"/>
      <c r="D556" s="28"/>
      <c r="E556" s="29"/>
      <c r="F556" s="29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" x14ac:dyDescent="0.15">
      <c r="A557" s="28"/>
      <c r="B557" s="28"/>
      <c r="C557" s="28"/>
      <c r="D557" s="28"/>
      <c r="E557" s="29"/>
      <c r="F557" s="29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" x14ac:dyDescent="0.15">
      <c r="A558" s="28"/>
      <c r="B558" s="28"/>
      <c r="C558" s="28"/>
      <c r="D558" s="28"/>
      <c r="E558" s="29"/>
      <c r="F558" s="29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" x14ac:dyDescent="0.15">
      <c r="A559" s="28"/>
      <c r="B559" s="28"/>
      <c r="C559" s="28"/>
      <c r="D559" s="28"/>
      <c r="E559" s="29"/>
      <c r="F559" s="29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" x14ac:dyDescent="0.15">
      <c r="A560" s="28"/>
      <c r="B560" s="28"/>
      <c r="C560" s="28"/>
      <c r="D560" s="28"/>
      <c r="E560" s="29"/>
      <c r="F560" s="29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" x14ac:dyDescent="0.15">
      <c r="A561" s="28"/>
      <c r="B561" s="28"/>
      <c r="C561" s="28"/>
      <c r="D561" s="28"/>
      <c r="E561" s="29"/>
      <c r="F561" s="29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" x14ac:dyDescent="0.15">
      <c r="A562" s="28"/>
      <c r="B562" s="28"/>
      <c r="C562" s="28"/>
      <c r="D562" s="28"/>
      <c r="E562" s="29"/>
      <c r="F562" s="29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" x14ac:dyDescent="0.15">
      <c r="A563" s="28"/>
      <c r="B563" s="28"/>
      <c r="C563" s="28"/>
      <c r="D563" s="28"/>
      <c r="E563" s="29"/>
      <c r="F563" s="29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" x14ac:dyDescent="0.15">
      <c r="A564" s="28"/>
      <c r="B564" s="28"/>
      <c r="C564" s="28"/>
      <c r="D564" s="28"/>
      <c r="E564" s="29"/>
      <c r="F564" s="29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" x14ac:dyDescent="0.15">
      <c r="A565" s="28"/>
      <c r="B565" s="28"/>
      <c r="C565" s="28"/>
      <c r="D565" s="28"/>
      <c r="E565" s="29"/>
      <c r="F565" s="29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" x14ac:dyDescent="0.15">
      <c r="A566" s="28"/>
      <c r="B566" s="28"/>
      <c r="C566" s="28"/>
      <c r="D566" s="28"/>
      <c r="E566" s="29"/>
      <c r="F566" s="29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" x14ac:dyDescent="0.15">
      <c r="A567" s="28"/>
      <c r="B567" s="28"/>
      <c r="C567" s="28"/>
      <c r="D567" s="28"/>
      <c r="E567" s="29"/>
      <c r="F567" s="29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" x14ac:dyDescent="0.15">
      <c r="A568" s="28"/>
      <c r="B568" s="28"/>
      <c r="C568" s="28"/>
      <c r="D568" s="28"/>
      <c r="E568" s="29"/>
      <c r="F568" s="29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" x14ac:dyDescent="0.15">
      <c r="A569" s="28"/>
      <c r="B569" s="28"/>
      <c r="C569" s="28"/>
      <c r="D569" s="28"/>
      <c r="E569" s="29"/>
      <c r="F569" s="29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" x14ac:dyDescent="0.15">
      <c r="A570" s="28"/>
      <c r="B570" s="28"/>
      <c r="C570" s="28"/>
      <c r="D570" s="28"/>
      <c r="E570" s="29"/>
      <c r="F570" s="29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" x14ac:dyDescent="0.15">
      <c r="A571" s="28"/>
      <c r="B571" s="28"/>
      <c r="C571" s="28"/>
      <c r="D571" s="28"/>
      <c r="E571" s="29"/>
      <c r="F571" s="29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" x14ac:dyDescent="0.15">
      <c r="A572" s="28"/>
      <c r="B572" s="28"/>
      <c r="C572" s="28"/>
      <c r="D572" s="28"/>
      <c r="E572" s="29"/>
      <c r="F572" s="29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" x14ac:dyDescent="0.15">
      <c r="A573" s="28"/>
      <c r="B573" s="28"/>
      <c r="C573" s="28"/>
      <c r="D573" s="28"/>
      <c r="E573" s="29"/>
      <c r="F573" s="29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" x14ac:dyDescent="0.15">
      <c r="A574" s="28"/>
      <c r="B574" s="28"/>
      <c r="C574" s="28"/>
      <c r="D574" s="28"/>
      <c r="E574" s="29"/>
      <c r="F574" s="29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" x14ac:dyDescent="0.15">
      <c r="A575" s="28"/>
      <c r="B575" s="28"/>
      <c r="C575" s="28"/>
      <c r="D575" s="28"/>
      <c r="E575" s="29"/>
      <c r="F575" s="29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" x14ac:dyDescent="0.15">
      <c r="A576" s="28"/>
      <c r="B576" s="28"/>
      <c r="C576" s="28"/>
      <c r="D576" s="28"/>
      <c r="E576" s="29"/>
      <c r="F576" s="29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" x14ac:dyDescent="0.15">
      <c r="A577" s="28"/>
      <c r="B577" s="28"/>
      <c r="C577" s="28"/>
      <c r="D577" s="28"/>
      <c r="E577" s="29"/>
      <c r="F577" s="29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" x14ac:dyDescent="0.15">
      <c r="A578" s="28"/>
      <c r="B578" s="28"/>
      <c r="C578" s="28"/>
      <c r="D578" s="28"/>
      <c r="E578" s="29"/>
      <c r="F578" s="29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" x14ac:dyDescent="0.15">
      <c r="A579" s="28"/>
      <c r="B579" s="28"/>
      <c r="C579" s="28"/>
      <c r="D579" s="28"/>
      <c r="E579" s="29"/>
      <c r="F579" s="29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" x14ac:dyDescent="0.15">
      <c r="A580" s="28"/>
      <c r="B580" s="28"/>
      <c r="C580" s="28"/>
      <c r="D580" s="28"/>
      <c r="E580" s="29"/>
      <c r="F580" s="29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" x14ac:dyDescent="0.15">
      <c r="A581" s="28"/>
      <c r="B581" s="28"/>
      <c r="C581" s="28"/>
      <c r="D581" s="28"/>
      <c r="E581" s="29"/>
      <c r="F581" s="29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" x14ac:dyDescent="0.15">
      <c r="A582" s="28"/>
      <c r="B582" s="28"/>
      <c r="C582" s="28"/>
      <c r="D582" s="28"/>
      <c r="E582" s="29"/>
      <c r="F582" s="29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" x14ac:dyDescent="0.15">
      <c r="A583" s="28"/>
      <c r="B583" s="28"/>
      <c r="C583" s="28"/>
      <c r="D583" s="28"/>
      <c r="E583" s="29"/>
      <c r="F583" s="29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" x14ac:dyDescent="0.15">
      <c r="A584" s="28"/>
      <c r="B584" s="28"/>
      <c r="C584" s="28"/>
      <c r="D584" s="28"/>
      <c r="E584" s="29"/>
      <c r="F584" s="29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" x14ac:dyDescent="0.15">
      <c r="A585" s="28"/>
      <c r="B585" s="28"/>
      <c r="C585" s="28"/>
      <c r="D585" s="28"/>
      <c r="E585" s="29"/>
      <c r="F585" s="29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" x14ac:dyDescent="0.15">
      <c r="A586" s="28"/>
      <c r="B586" s="28"/>
      <c r="C586" s="28"/>
      <c r="D586" s="28"/>
      <c r="E586" s="29"/>
      <c r="F586" s="29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" x14ac:dyDescent="0.15">
      <c r="A587" s="28"/>
      <c r="B587" s="28"/>
      <c r="C587" s="28"/>
      <c r="D587" s="28"/>
      <c r="E587" s="29"/>
      <c r="F587" s="29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" x14ac:dyDescent="0.15">
      <c r="A588" s="28"/>
      <c r="B588" s="28"/>
      <c r="C588" s="28"/>
      <c r="D588" s="28"/>
      <c r="E588" s="29"/>
      <c r="F588" s="29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" x14ac:dyDescent="0.15">
      <c r="A589" s="28"/>
      <c r="B589" s="28"/>
      <c r="C589" s="28"/>
      <c r="D589" s="28"/>
      <c r="E589" s="29"/>
      <c r="F589" s="29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" x14ac:dyDescent="0.15">
      <c r="A590" s="28"/>
      <c r="B590" s="28"/>
      <c r="C590" s="28"/>
      <c r="D590" s="28"/>
      <c r="E590" s="29"/>
      <c r="F590" s="29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" x14ac:dyDescent="0.15">
      <c r="A591" s="28"/>
      <c r="B591" s="28"/>
      <c r="C591" s="28"/>
      <c r="D591" s="28"/>
      <c r="E591" s="29"/>
      <c r="F591" s="29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" x14ac:dyDescent="0.15">
      <c r="A592" s="28"/>
      <c r="B592" s="28"/>
      <c r="C592" s="28"/>
      <c r="D592" s="28"/>
      <c r="E592" s="29"/>
      <c r="F592" s="29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" x14ac:dyDescent="0.15">
      <c r="A593" s="28"/>
      <c r="B593" s="28"/>
      <c r="C593" s="28"/>
      <c r="D593" s="28"/>
      <c r="E593" s="29"/>
      <c r="F593" s="29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" x14ac:dyDescent="0.15">
      <c r="A594" s="28"/>
      <c r="B594" s="28"/>
      <c r="C594" s="28"/>
      <c r="D594" s="28"/>
      <c r="E594" s="29"/>
      <c r="F594" s="29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" x14ac:dyDescent="0.15">
      <c r="A595" s="28"/>
      <c r="B595" s="28"/>
      <c r="C595" s="28"/>
      <c r="D595" s="28"/>
      <c r="E595" s="29"/>
      <c r="F595" s="29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" x14ac:dyDescent="0.15">
      <c r="A596" s="28"/>
      <c r="B596" s="28"/>
      <c r="C596" s="28"/>
      <c r="D596" s="28"/>
      <c r="E596" s="29"/>
      <c r="F596" s="29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" x14ac:dyDescent="0.15">
      <c r="A597" s="28"/>
      <c r="B597" s="28"/>
      <c r="C597" s="28"/>
      <c r="D597" s="28"/>
      <c r="E597" s="29"/>
      <c r="F597" s="29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" x14ac:dyDescent="0.15">
      <c r="A598" s="28"/>
      <c r="B598" s="28"/>
      <c r="C598" s="28"/>
      <c r="D598" s="28"/>
      <c r="E598" s="29"/>
      <c r="F598" s="29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" x14ac:dyDescent="0.15">
      <c r="A599" s="28"/>
      <c r="B599" s="28"/>
      <c r="C599" s="28"/>
      <c r="D599" s="28"/>
      <c r="E599" s="29"/>
      <c r="F599" s="29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" x14ac:dyDescent="0.15">
      <c r="A600" s="28"/>
      <c r="B600" s="28"/>
      <c r="C600" s="28"/>
      <c r="D600" s="28"/>
      <c r="E600" s="29"/>
      <c r="F600" s="29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" x14ac:dyDescent="0.15">
      <c r="A601" s="28"/>
      <c r="B601" s="28"/>
      <c r="C601" s="28"/>
      <c r="D601" s="28"/>
      <c r="E601" s="29"/>
      <c r="F601" s="29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" x14ac:dyDescent="0.15">
      <c r="A602" s="28"/>
      <c r="B602" s="28"/>
      <c r="C602" s="28"/>
      <c r="D602" s="28"/>
      <c r="E602" s="29"/>
      <c r="F602" s="29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" x14ac:dyDescent="0.15">
      <c r="A603" s="28"/>
      <c r="B603" s="28"/>
      <c r="C603" s="28"/>
      <c r="D603" s="28"/>
      <c r="E603" s="29"/>
      <c r="F603" s="29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" x14ac:dyDescent="0.15">
      <c r="A604" s="28"/>
      <c r="B604" s="28"/>
      <c r="C604" s="28"/>
      <c r="D604" s="28"/>
      <c r="E604" s="29"/>
      <c r="F604" s="29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" x14ac:dyDescent="0.15">
      <c r="A605" s="28"/>
      <c r="B605" s="28"/>
      <c r="C605" s="28"/>
      <c r="D605" s="28"/>
      <c r="E605" s="29"/>
      <c r="F605" s="29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" x14ac:dyDescent="0.15">
      <c r="A606" s="28"/>
      <c r="B606" s="28"/>
      <c r="C606" s="28"/>
      <c r="D606" s="28"/>
      <c r="E606" s="29"/>
      <c r="F606" s="29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" x14ac:dyDescent="0.15">
      <c r="A607" s="28"/>
      <c r="B607" s="28"/>
      <c r="C607" s="28"/>
      <c r="D607" s="28"/>
      <c r="E607" s="29"/>
      <c r="F607" s="29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" x14ac:dyDescent="0.15">
      <c r="A608" s="28"/>
      <c r="B608" s="28"/>
      <c r="C608" s="28"/>
      <c r="D608" s="28"/>
      <c r="E608" s="29"/>
      <c r="F608" s="29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" x14ac:dyDescent="0.15">
      <c r="A609" s="28"/>
      <c r="B609" s="28"/>
      <c r="C609" s="28"/>
      <c r="D609" s="28"/>
      <c r="E609" s="29"/>
      <c r="F609" s="29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" x14ac:dyDescent="0.15">
      <c r="A610" s="28"/>
      <c r="B610" s="28"/>
      <c r="C610" s="28"/>
      <c r="D610" s="28"/>
      <c r="E610" s="29"/>
      <c r="F610" s="29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" x14ac:dyDescent="0.15">
      <c r="A611" s="28"/>
      <c r="B611" s="28"/>
      <c r="C611" s="28"/>
      <c r="D611" s="28"/>
      <c r="E611" s="29"/>
      <c r="F611" s="29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" x14ac:dyDescent="0.15">
      <c r="A612" s="28"/>
      <c r="B612" s="28"/>
      <c r="C612" s="28"/>
      <c r="D612" s="28"/>
      <c r="E612" s="29"/>
      <c r="F612" s="29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" x14ac:dyDescent="0.15">
      <c r="A613" s="28"/>
      <c r="B613" s="28"/>
      <c r="C613" s="28"/>
      <c r="D613" s="28"/>
      <c r="E613" s="29"/>
      <c r="F613" s="29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" x14ac:dyDescent="0.15">
      <c r="A614" s="28"/>
      <c r="B614" s="28"/>
      <c r="C614" s="28"/>
      <c r="D614" s="28"/>
      <c r="E614" s="29"/>
      <c r="F614" s="29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" x14ac:dyDescent="0.15">
      <c r="A615" s="28"/>
      <c r="B615" s="28"/>
      <c r="C615" s="28"/>
      <c r="D615" s="28"/>
      <c r="E615" s="29"/>
      <c r="F615" s="29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" x14ac:dyDescent="0.15">
      <c r="A616" s="28"/>
      <c r="B616" s="28"/>
      <c r="C616" s="28"/>
      <c r="D616" s="28"/>
      <c r="E616" s="29"/>
      <c r="F616" s="29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" x14ac:dyDescent="0.15">
      <c r="A617" s="28"/>
      <c r="B617" s="28"/>
      <c r="C617" s="28"/>
      <c r="D617" s="28"/>
      <c r="E617" s="29"/>
      <c r="F617" s="29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" x14ac:dyDescent="0.15">
      <c r="A618" s="28"/>
      <c r="B618" s="28"/>
      <c r="C618" s="28"/>
      <c r="D618" s="28"/>
      <c r="E618" s="29"/>
      <c r="F618" s="29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" x14ac:dyDescent="0.15">
      <c r="A619" s="28"/>
      <c r="B619" s="28"/>
      <c r="C619" s="28"/>
      <c r="D619" s="28"/>
      <c r="E619" s="29"/>
      <c r="F619" s="29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" x14ac:dyDescent="0.15">
      <c r="A620" s="28"/>
      <c r="B620" s="28"/>
      <c r="C620" s="28"/>
      <c r="D620" s="28"/>
      <c r="E620" s="29"/>
      <c r="F620" s="29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" x14ac:dyDescent="0.15">
      <c r="A621" s="28"/>
      <c r="B621" s="28"/>
      <c r="C621" s="28"/>
      <c r="D621" s="28"/>
      <c r="E621" s="29"/>
      <c r="F621" s="29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" x14ac:dyDescent="0.15">
      <c r="A622" s="28"/>
      <c r="B622" s="28"/>
      <c r="C622" s="28"/>
      <c r="D622" s="28"/>
      <c r="E622" s="29"/>
      <c r="F622" s="29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" x14ac:dyDescent="0.15">
      <c r="A623" s="28"/>
      <c r="B623" s="28"/>
      <c r="C623" s="28"/>
      <c r="D623" s="28"/>
      <c r="E623" s="29"/>
      <c r="F623" s="29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" x14ac:dyDescent="0.15">
      <c r="A624" s="28"/>
      <c r="B624" s="28"/>
      <c r="C624" s="28"/>
      <c r="D624" s="28"/>
      <c r="E624" s="29"/>
      <c r="F624" s="29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" x14ac:dyDescent="0.15">
      <c r="A625" s="28"/>
      <c r="B625" s="28"/>
      <c r="C625" s="28"/>
      <c r="D625" s="28"/>
      <c r="E625" s="29"/>
      <c r="F625" s="29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" x14ac:dyDescent="0.15">
      <c r="A626" s="28"/>
      <c r="B626" s="28"/>
      <c r="C626" s="28"/>
      <c r="D626" s="28"/>
      <c r="E626" s="29"/>
      <c r="F626" s="29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" x14ac:dyDescent="0.15">
      <c r="A627" s="28"/>
      <c r="B627" s="28"/>
      <c r="C627" s="28"/>
      <c r="D627" s="28"/>
      <c r="E627" s="29"/>
      <c r="F627" s="29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" x14ac:dyDescent="0.15">
      <c r="A628" s="28"/>
      <c r="B628" s="28"/>
      <c r="C628" s="28"/>
      <c r="D628" s="28"/>
      <c r="E628" s="29"/>
      <c r="F628" s="29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" x14ac:dyDescent="0.15">
      <c r="A629" s="28"/>
      <c r="B629" s="28"/>
      <c r="C629" s="28"/>
      <c r="D629" s="28"/>
      <c r="E629" s="29"/>
      <c r="F629" s="29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" x14ac:dyDescent="0.15">
      <c r="A630" s="28"/>
      <c r="B630" s="28"/>
      <c r="C630" s="28"/>
      <c r="D630" s="28"/>
      <c r="E630" s="29"/>
      <c r="F630" s="29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" x14ac:dyDescent="0.15">
      <c r="A631" s="28"/>
      <c r="B631" s="28"/>
      <c r="C631" s="28"/>
      <c r="D631" s="28"/>
      <c r="E631" s="29"/>
      <c r="F631" s="29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" x14ac:dyDescent="0.15">
      <c r="A632" s="28"/>
      <c r="B632" s="28"/>
      <c r="C632" s="28"/>
      <c r="D632" s="28"/>
      <c r="E632" s="29"/>
      <c r="F632" s="29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" x14ac:dyDescent="0.15">
      <c r="A633" s="28"/>
      <c r="B633" s="28"/>
      <c r="C633" s="28"/>
      <c r="D633" s="28"/>
      <c r="E633" s="29"/>
      <c r="F633" s="29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" x14ac:dyDescent="0.15">
      <c r="A634" s="28"/>
      <c r="B634" s="28"/>
      <c r="C634" s="28"/>
      <c r="D634" s="28"/>
      <c r="E634" s="29"/>
      <c r="F634" s="29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" x14ac:dyDescent="0.15">
      <c r="A635" s="28"/>
      <c r="B635" s="28"/>
      <c r="C635" s="28"/>
      <c r="D635" s="28"/>
      <c r="E635" s="29"/>
      <c r="F635" s="29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" x14ac:dyDescent="0.15">
      <c r="A636" s="28"/>
      <c r="B636" s="28"/>
      <c r="C636" s="28"/>
      <c r="D636" s="28"/>
      <c r="E636" s="29"/>
      <c r="F636" s="29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" x14ac:dyDescent="0.15">
      <c r="A637" s="28"/>
      <c r="B637" s="28"/>
      <c r="C637" s="28"/>
      <c r="D637" s="28"/>
      <c r="E637" s="29"/>
      <c r="F637" s="29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" x14ac:dyDescent="0.15">
      <c r="A638" s="28"/>
      <c r="B638" s="28"/>
      <c r="C638" s="28"/>
      <c r="D638" s="28"/>
      <c r="E638" s="29"/>
      <c r="F638" s="29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" x14ac:dyDescent="0.15">
      <c r="A639" s="28"/>
      <c r="B639" s="28"/>
      <c r="C639" s="28"/>
      <c r="D639" s="28"/>
      <c r="E639" s="29"/>
      <c r="F639" s="29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" x14ac:dyDescent="0.15">
      <c r="A640" s="28"/>
      <c r="B640" s="28"/>
      <c r="C640" s="28"/>
      <c r="D640" s="28"/>
      <c r="E640" s="29"/>
      <c r="F640" s="29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" x14ac:dyDescent="0.15">
      <c r="A641" s="28"/>
      <c r="B641" s="28"/>
      <c r="C641" s="28"/>
      <c r="D641" s="28"/>
      <c r="E641" s="29"/>
      <c r="F641" s="29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" x14ac:dyDescent="0.15">
      <c r="A642" s="28"/>
      <c r="B642" s="28"/>
      <c r="C642" s="28"/>
      <c r="D642" s="28"/>
      <c r="E642" s="29"/>
      <c r="F642" s="29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" x14ac:dyDescent="0.15">
      <c r="A643" s="28"/>
      <c r="B643" s="28"/>
      <c r="C643" s="28"/>
      <c r="D643" s="28"/>
      <c r="E643" s="29"/>
      <c r="F643" s="29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" x14ac:dyDescent="0.15">
      <c r="A644" s="28"/>
      <c r="B644" s="28"/>
      <c r="C644" s="28"/>
      <c r="D644" s="28"/>
      <c r="E644" s="29"/>
      <c r="F644" s="29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" x14ac:dyDescent="0.15">
      <c r="A645" s="28"/>
      <c r="B645" s="28"/>
      <c r="C645" s="28"/>
      <c r="D645" s="28"/>
      <c r="E645" s="29"/>
      <c r="F645" s="29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" x14ac:dyDescent="0.15">
      <c r="A646" s="28"/>
      <c r="B646" s="28"/>
      <c r="C646" s="28"/>
      <c r="D646" s="28"/>
      <c r="E646" s="29"/>
      <c r="F646" s="29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" x14ac:dyDescent="0.15">
      <c r="A647" s="28"/>
      <c r="B647" s="28"/>
      <c r="C647" s="28"/>
      <c r="D647" s="28"/>
      <c r="E647" s="29"/>
      <c r="F647" s="29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" x14ac:dyDescent="0.15">
      <c r="A648" s="28"/>
      <c r="B648" s="28"/>
      <c r="C648" s="28"/>
      <c r="D648" s="28"/>
      <c r="E648" s="29"/>
      <c r="F648" s="29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" x14ac:dyDescent="0.15">
      <c r="A649" s="28"/>
      <c r="B649" s="28"/>
      <c r="C649" s="28"/>
      <c r="D649" s="28"/>
      <c r="E649" s="29"/>
      <c r="F649" s="29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" x14ac:dyDescent="0.15">
      <c r="A650" s="28"/>
      <c r="B650" s="28"/>
      <c r="C650" s="28"/>
      <c r="D650" s="28"/>
      <c r="E650" s="29"/>
      <c r="F650" s="29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" x14ac:dyDescent="0.15">
      <c r="A651" s="28"/>
      <c r="B651" s="28"/>
      <c r="C651" s="28"/>
      <c r="D651" s="28"/>
      <c r="E651" s="29"/>
      <c r="F651" s="29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" x14ac:dyDescent="0.15">
      <c r="A652" s="28"/>
      <c r="B652" s="28"/>
      <c r="C652" s="28"/>
      <c r="D652" s="28"/>
      <c r="E652" s="29"/>
      <c r="F652" s="29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" x14ac:dyDescent="0.15">
      <c r="A653" s="28"/>
      <c r="B653" s="28"/>
      <c r="C653" s="28"/>
      <c r="D653" s="28"/>
      <c r="E653" s="29"/>
      <c r="F653" s="29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" x14ac:dyDescent="0.15">
      <c r="A654" s="28"/>
      <c r="B654" s="28"/>
      <c r="C654" s="28"/>
      <c r="D654" s="28"/>
      <c r="E654" s="29"/>
      <c r="F654" s="29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" x14ac:dyDescent="0.15">
      <c r="A655" s="28"/>
      <c r="B655" s="28"/>
      <c r="C655" s="28"/>
      <c r="D655" s="28"/>
      <c r="E655" s="29"/>
      <c r="F655" s="29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" x14ac:dyDescent="0.15">
      <c r="A656" s="28"/>
      <c r="B656" s="28"/>
      <c r="C656" s="28"/>
      <c r="D656" s="28"/>
      <c r="E656" s="29"/>
      <c r="F656" s="29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" x14ac:dyDescent="0.15">
      <c r="A657" s="28"/>
      <c r="B657" s="28"/>
      <c r="C657" s="28"/>
      <c r="D657" s="28"/>
      <c r="E657" s="29"/>
      <c r="F657" s="29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" x14ac:dyDescent="0.15">
      <c r="A658" s="28"/>
      <c r="B658" s="28"/>
      <c r="C658" s="28"/>
      <c r="D658" s="28"/>
      <c r="E658" s="29"/>
      <c r="F658" s="29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" x14ac:dyDescent="0.15">
      <c r="A659" s="28"/>
      <c r="B659" s="28"/>
      <c r="C659" s="28"/>
      <c r="D659" s="28"/>
      <c r="E659" s="29"/>
      <c r="F659" s="29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" x14ac:dyDescent="0.15">
      <c r="A660" s="28"/>
      <c r="B660" s="28"/>
      <c r="C660" s="28"/>
      <c r="D660" s="28"/>
      <c r="E660" s="29"/>
      <c r="F660" s="29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" x14ac:dyDescent="0.15">
      <c r="A661" s="28"/>
      <c r="B661" s="28"/>
      <c r="C661" s="28"/>
      <c r="D661" s="28"/>
      <c r="E661" s="29"/>
      <c r="F661" s="29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" x14ac:dyDescent="0.15">
      <c r="A662" s="28"/>
      <c r="B662" s="28"/>
      <c r="C662" s="28"/>
      <c r="D662" s="28"/>
      <c r="E662" s="29"/>
      <c r="F662" s="29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" x14ac:dyDescent="0.15">
      <c r="A663" s="28"/>
      <c r="B663" s="28"/>
      <c r="C663" s="28"/>
      <c r="D663" s="28"/>
      <c r="E663" s="29"/>
      <c r="F663" s="29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" x14ac:dyDescent="0.15">
      <c r="A664" s="28"/>
      <c r="B664" s="28"/>
      <c r="C664" s="28"/>
      <c r="D664" s="28"/>
      <c r="E664" s="29"/>
      <c r="F664" s="29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" x14ac:dyDescent="0.15">
      <c r="A665" s="28"/>
      <c r="B665" s="28"/>
      <c r="C665" s="28"/>
      <c r="D665" s="28"/>
      <c r="E665" s="29"/>
      <c r="F665" s="29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" x14ac:dyDescent="0.15">
      <c r="A666" s="28"/>
      <c r="B666" s="28"/>
      <c r="C666" s="28"/>
      <c r="D666" s="28"/>
      <c r="E666" s="29"/>
      <c r="F666" s="29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" x14ac:dyDescent="0.15">
      <c r="A667" s="28"/>
      <c r="B667" s="28"/>
      <c r="C667" s="28"/>
      <c r="D667" s="28"/>
      <c r="E667" s="29"/>
      <c r="F667" s="29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" x14ac:dyDescent="0.15">
      <c r="A668" s="28"/>
      <c r="B668" s="28"/>
      <c r="C668" s="28"/>
      <c r="D668" s="28"/>
      <c r="E668" s="29"/>
      <c r="F668" s="29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" x14ac:dyDescent="0.15">
      <c r="A669" s="28"/>
      <c r="B669" s="28"/>
      <c r="C669" s="28"/>
      <c r="D669" s="28"/>
      <c r="E669" s="29"/>
      <c r="F669" s="29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" x14ac:dyDescent="0.15">
      <c r="A670" s="28"/>
      <c r="B670" s="28"/>
      <c r="C670" s="28"/>
      <c r="D670" s="28"/>
      <c r="E670" s="29"/>
      <c r="F670" s="29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" x14ac:dyDescent="0.15">
      <c r="A671" s="28"/>
      <c r="B671" s="28"/>
      <c r="C671" s="28"/>
      <c r="D671" s="28"/>
      <c r="E671" s="29"/>
      <c r="F671" s="29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" x14ac:dyDescent="0.15">
      <c r="A672" s="28"/>
      <c r="B672" s="28"/>
      <c r="C672" s="28"/>
      <c r="D672" s="28"/>
      <c r="E672" s="29"/>
      <c r="F672" s="29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" x14ac:dyDescent="0.15">
      <c r="A673" s="28"/>
      <c r="B673" s="28"/>
      <c r="C673" s="28"/>
      <c r="D673" s="28"/>
      <c r="E673" s="29"/>
      <c r="F673" s="29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" x14ac:dyDescent="0.15">
      <c r="A674" s="28"/>
      <c r="B674" s="28"/>
      <c r="C674" s="28"/>
      <c r="D674" s="28"/>
      <c r="E674" s="29"/>
      <c r="F674" s="29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" x14ac:dyDescent="0.15">
      <c r="A675" s="28"/>
      <c r="B675" s="28"/>
      <c r="C675" s="28"/>
      <c r="D675" s="28"/>
      <c r="E675" s="29"/>
      <c r="F675" s="29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" x14ac:dyDescent="0.15">
      <c r="A676" s="28"/>
      <c r="B676" s="28"/>
      <c r="C676" s="28"/>
      <c r="D676" s="28"/>
      <c r="E676" s="29"/>
      <c r="F676" s="29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" x14ac:dyDescent="0.15">
      <c r="A677" s="28"/>
      <c r="B677" s="28"/>
      <c r="C677" s="28"/>
      <c r="D677" s="28"/>
      <c r="E677" s="29"/>
      <c r="F677" s="29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" x14ac:dyDescent="0.15">
      <c r="A678" s="28"/>
      <c r="B678" s="28"/>
      <c r="C678" s="28"/>
      <c r="D678" s="28"/>
      <c r="E678" s="29"/>
      <c r="F678" s="29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" x14ac:dyDescent="0.15">
      <c r="A679" s="28"/>
      <c r="B679" s="28"/>
      <c r="C679" s="28"/>
      <c r="D679" s="28"/>
      <c r="E679" s="29"/>
      <c r="F679" s="29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" x14ac:dyDescent="0.15">
      <c r="A680" s="28"/>
      <c r="B680" s="28"/>
      <c r="C680" s="28"/>
      <c r="D680" s="28"/>
      <c r="E680" s="29"/>
      <c r="F680" s="29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" x14ac:dyDescent="0.15">
      <c r="A681" s="28"/>
      <c r="B681" s="28"/>
      <c r="C681" s="28"/>
      <c r="D681" s="28"/>
      <c r="E681" s="29"/>
      <c r="F681" s="29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" x14ac:dyDescent="0.15">
      <c r="A682" s="28"/>
      <c r="B682" s="28"/>
      <c r="C682" s="28"/>
      <c r="D682" s="28"/>
      <c r="E682" s="29"/>
      <c r="F682" s="29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" x14ac:dyDescent="0.15">
      <c r="A683" s="28"/>
      <c r="B683" s="28"/>
      <c r="C683" s="28"/>
      <c r="D683" s="28"/>
      <c r="E683" s="29"/>
      <c r="F683" s="29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" x14ac:dyDescent="0.15">
      <c r="A684" s="28"/>
      <c r="B684" s="28"/>
      <c r="C684" s="28"/>
      <c r="D684" s="28"/>
      <c r="E684" s="29"/>
      <c r="F684" s="29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" x14ac:dyDescent="0.15">
      <c r="A685" s="28"/>
      <c r="B685" s="28"/>
      <c r="C685" s="28"/>
      <c r="D685" s="28"/>
      <c r="E685" s="29"/>
      <c r="F685" s="29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" x14ac:dyDescent="0.15">
      <c r="A686" s="28"/>
      <c r="B686" s="28"/>
      <c r="C686" s="28"/>
      <c r="D686" s="28"/>
      <c r="E686" s="29"/>
      <c r="F686" s="29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" x14ac:dyDescent="0.15">
      <c r="A687" s="28"/>
      <c r="B687" s="28"/>
      <c r="C687" s="28"/>
      <c r="D687" s="28"/>
      <c r="E687" s="29"/>
      <c r="F687" s="29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" x14ac:dyDescent="0.15">
      <c r="A688" s="28"/>
      <c r="B688" s="28"/>
      <c r="C688" s="28"/>
      <c r="D688" s="28"/>
      <c r="E688" s="29"/>
      <c r="F688" s="29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" x14ac:dyDescent="0.15">
      <c r="A689" s="28"/>
      <c r="B689" s="28"/>
      <c r="C689" s="28"/>
      <c r="D689" s="28"/>
      <c r="E689" s="29"/>
      <c r="F689" s="29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" x14ac:dyDescent="0.15">
      <c r="A690" s="28"/>
      <c r="B690" s="28"/>
      <c r="C690" s="28"/>
      <c r="D690" s="28"/>
      <c r="E690" s="29"/>
      <c r="F690" s="29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" x14ac:dyDescent="0.15">
      <c r="A691" s="28"/>
      <c r="B691" s="28"/>
      <c r="C691" s="28"/>
      <c r="D691" s="28"/>
      <c r="E691" s="29"/>
      <c r="F691" s="29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" x14ac:dyDescent="0.15">
      <c r="A692" s="28"/>
      <c r="B692" s="28"/>
      <c r="C692" s="28"/>
      <c r="D692" s="28"/>
      <c r="E692" s="29"/>
      <c r="F692" s="29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" x14ac:dyDescent="0.15">
      <c r="A693" s="28"/>
      <c r="B693" s="28"/>
      <c r="C693" s="28"/>
      <c r="D693" s="28"/>
      <c r="E693" s="29"/>
      <c r="F693" s="29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" x14ac:dyDescent="0.15">
      <c r="A694" s="28"/>
      <c r="B694" s="28"/>
      <c r="C694" s="28"/>
      <c r="D694" s="28"/>
      <c r="E694" s="29"/>
      <c r="F694" s="29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" x14ac:dyDescent="0.15">
      <c r="A695" s="28"/>
      <c r="B695" s="28"/>
      <c r="C695" s="28"/>
      <c r="D695" s="28"/>
      <c r="E695" s="29"/>
      <c r="F695" s="29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" x14ac:dyDescent="0.15">
      <c r="A696" s="28"/>
      <c r="B696" s="28"/>
      <c r="C696" s="28"/>
      <c r="D696" s="28"/>
      <c r="E696" s="29"/>
      <c r="F696" s="29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" x14ac:dyDescent="0.15">
      <c r="A697" s="28"/>
      <c r="B697" s="28"/>
      <c r="C697" s="28"/>
      <c r="D697" s="28"/>
      <c r="E697" s="29"/>
      <c r="F697" s="29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" x14ac:dyDescent="0.15">
      <c r="A698" s="28"/>
      <c r="B698" s="28"/>
      <c r="C698" s="28"/>
      <c r="D698" s="28"/>
      <c r="E698" s="29"/>
      <c r="F698" s="29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" x14ac:dyDescent="0.15">
      <c r="A699" s="28"/>
      <c r="B699" s="28"/>
      <c r="C699" s="28"/>
      <c r="D699" s="28"/>
      <c r="E699" s="29"/>
      <c r="F699" s="29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" x14ac:dyDescent="0.15">
      <c r="A700" s="28"/>
      <c r="B700" s="28"/>
      <c r="C700" s="28"/>
      <c r="D700" s="28"/>
      <c r="E700" s="29"/>
      <c r="F700" s="29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" x14ac:dyDescent="0.15">
      <c r="A701" s="28"/>
      <c r="B701" s="28"/>
      <c r="C701" s="28"/>
      <c r="D701" s="28"/>
      <c r="E701" s="29"/>
      <c r="F701" s="29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" x14ac:dyDescent="0.15">
      <c r="A702" s="28"/>
      <c r="B702" s="28"/>
      <c r="C702" s="28"/>
      <c r="D702" s="28"/>
      <c r="E702" s="29"/>
      <c r="F702" s="29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" x14ac:dyDescent="0.15">
      <c r="A703" s="28"/>
      <c r="B703" s="28"/>
      <c r="C703" s="28"/>
      <c r="D703" s="28"/>
      <c r="E703" s="29"/>
      <c r="F703" s="29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" x14ac:dyDescent="0.15">
      <c r="A704" s="28"/>
      <c r="B704" s="28"/>
      <c r="C704" s="28"/>
      <c r="D704" s="28"/>
      <c r="E704" s="29"/>
      <c r="F704" s="29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" x14ac:dyDescent="0.15">
      <c r="A705" s="28"/>
      <c r="B705" s="28"/>
      <c r="C705" s="28"/>
      <c r="D705" s="28"/>
      <c r="E705" s="29"/>
      <c r="F705" s="29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" x14ac:dyDescent="0.15">
      <c r="A706" s="28"/>
      <c r="B706" s="28"/>
      <c r="C706" s="28"/>
      <c r="D706" s="28"/>
      <c r="E706" s="29"/>
      <c r="F706" s="29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" x14ac:dyDescent="0.15">
      <c r="A707" s="28"/>
      <c r="B707" s="28"/>
      <c r="C707" s="28"/>
      <c r="D707" s="28"/>
      <c r="E707" s="29"/>
      <c r="F707" s="29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" x14ac:dyDescent="0.15">
      <c r="A708" s="28"/>
      <c r="B708" s="28"/>
      <c r="C708" s="28"/>
      <c r="D708" s="28"/>
      <c r="E708" s="29"/>
      <c r="F708" s="29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" x14ac:dyDescent="0.15">
      <c r="A709" s="28"/>
      <c r="B709" s="28"/>
      <c r="C709" s="28"/>
      <c r="D709" s="28"/>
      <c r="E709" s="29"/>
      <c r="F709" s="29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" x14ac:dyDescent="0.15">
      <c r="A710" s="28"/>
      <c r="B710" s="28"/>
      <c r="C710" s="28"/>
      <c r="D710" s="28"/>
      <c r="E710" s="29"/>
      <c r="F710" s="29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" x14ac:dyDescent="0.15">
      <c r="A711" s="28"/>
      <c r="B711" s="28"/>
      <c r="C711" s="28"/>
      <c r="D711" s="28"/>
      <c r="E711" s="29"/>
      <c r="F711" s="29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" x14ac:dyDescent="0.15">
      <c r="A712" s="28"/>
      <c r="B712" s="28"/>
      <c r="C712" s="28"/>
      <c r="D712" s="28"/>
      <c r="E712" s="29"/>
      <c r="F712" s="29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" x14ac:dyDescent="0.15">
      <c r="A713" s="28"/>
      <c r="B713" s="28"/>
      <c r="C713" s="28"/>
      <c r="D713" s="28"/>
      <c r="E713" s="29"/>
      <c r="F713" s="29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" x14ac:dyDescent="0.15">
      <c r="A714" s="28"/>
      <c r="B714" s="28"/>
      <c r="C714" s="28"/>
      <c r="D714" s="28"/>
      <c r="E714" s="29"/>
      <c r="F714" s="29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" x14ac:dyDescent="0.15">
      <c r="A715" s="28"/>
      <c r="B715" s="28"/>
      <c r="C715" s="28"/>
      <c r="D715" s="28"/>
      <c r="E715" s="29"/>
      <c r="F715" s="29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" x14ac:dyDescent="0.15">
      <c r="A716" s="28"/>
      <c r="B716" s="28"/>
      <c r="C716" s="28"/>
      <c r="D716" s="28"/>
      <c r="E716" s="29"/>
      <c r="F716" s="29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" x14ac:dyDescent="0.15">
      <c r="A717" s="28"/>
      <c r="B717" s="28"/>
      <c r="C717" s="28"/>
      <c r="D717" s="28"/>
      <c r="E717" s="29"/>
      <c r="F717" s="29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" x14ac:dyDescent="0.15">
      <c r="A718" s="28"/>
      <c r="B718" s="28"/>
      <c r="C718" s="28"/>
      <c r="D718" s="28"/>
      <c r="E718" s="29"/>
      <c r="F718" s="29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" x14ac:dyDescent="0.15">
      <c r="A719" s="28"/>
      <c r="B719" s="28"/>
      <c r="C719" s="28"/>
      <c r="D719" s="28"/>
      <c r="E719" s="29"/>
      <c r="F719" s="29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" x14ac:dyDescent="0.15">
      <c r="A720" s="28"/>
      <c r="B720" s="28"/>
      <c r="C720" s="28"/>
      <c r="D720" s="28"/>
      <c r="E720" s="29"/>
      <c r="F720" s="29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" x14ac:dyDescent="0.15">
      <c r="A721" s="28"/>
      <c r="B721" s="28"/>
      <c r="C721" s="28"/>
      <c r="D721" s="28"/>
      <c r="E721" s="29"/>
      <c r="F721" s="29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" x14ac:dyDescent="0.15">
      <c r="A722" s="28"/>
      <c r="B722" s="28"/>
      <c r="C722" s="28"/>
      <c r="D722" s="28"/>
      <c r="E722" s="29"/>
      <c r="F722" s="29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" x14ac:dyDescent="0.15">
      <c r="A723" s="28"/>
      <c r="B723" s="28"/>
      <c r="C723" s="28"/>
      <c r="D723" s="28"/>
      <c r="E723" s="29"/>
      <c r="F723" s="29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" x14ac:dyDescent="0.15">
      <c r="A724" s="28"/>
      <c r="B724" s="28"/>
      <c r="C724" s="28"/>
      <c r="D724" s="28"/>
      <c r="E724" s="29"/>
      <c r="F724" s="29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" x14ac:dyDescent="0.15">
      <c r="A725" s="28"/>
      <c r="B725" s="28"/>
      <c r="C725" s="28"/>
      <c r="D725" s="28"/>
      <c r="E725" s="29"/>
      <c r="F725" s="29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" x14ac:dyDescent="0.15">
      <c r="A726" s="28"/>
      <c r="B726" s="28"/>
      <c r="C726" s="28"/>
      <c r="D726" s="28"/>
      <c r="E726" s="29"/>
      <c r="F726" s="29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" x14ac:dyDescent="0.15">
      <c r="A727" s="28"/>
      <c r="B727" s="28"/>
      <c r="C727" s="28"/>
      <c r="D727" s="28"/>
      <c r="E727" s="29"/>
      <c r="F727" s="29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" x14ac:dyDescent="0.15">
      <c r="A728" s="28"/>
      <c r="B728" s="28"/>
      <c r="C728" s="28"/>
      <c r="D728" s="28"/>
      <c r="E728" s="29"/>
      <c r="F728" s="29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</sheetData>
  <conditionalFormatting sqref="E2:G728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J744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25</v>
      </c>
      <c r="B2" s="28"/>
      <c r="C2" s="28"/>
      <c r="D2" s="28"/>
      <c r="E2" s="29"/>
      <c r="F2" s="29"/>
      <c r="G2" s="29"/>
    </row>
    <row r="3" spans="1:10" ht="15" x14ac:dyDescent="0.2">
      <c r="A3" s="1" t="s">
        <v>58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835</v>
      </c>
      <c r="D4" s="1">
        <v>6072</v>
      </c>
      <c r="E4" s="10">
        <v>0</v>
      </c>
      <c r="F4" s="10">
        <v>-30000</v>
      </c>
      <c r="G4" s="10"/>
      <c r="H4" s="30" t="s">
        <v>836</v>
      </c>
      <c r="I4" s="30"/>
      <c r="J4" s="30"/>
    </row>
    <row r="5" spans="1:10" ht="15" x14ac:dyDescent="0.2">
      <c r="A5" s="1"/>
      <c r="B5" s="1"/>
      <c r="C5" s="1" t="s">
        <v>550</v>
      </c>
      <c r="D5" s="1">
        <v>6150</v>
      </c>
      <c r="E5" s="10">
        <v>0</v>
      </c>
      <c r="F5" s="10">
        <v>-2500</v>
      </c>
      <c r="G5" s="10"/>
      <c r="H5" s="30"/>
      <c r="I5" s="30"/>
      <c r="J5" s="30"/>
    </row>
    <row r="6" spans="1:10" ht="15" x14ac:dyDescent="0.2">
      <c r="A6" s="1"/>
      <c r="B6" s="1"/>
      <c r="C6" s="1" t="s">
        <v>837</v>
      </c>
      <c r="D6" s="1">
        <v>6250</v>
      </c>
      <c r="E6" s="10">
        <v>0</v>
      </c>
      <c r="F6" s="10">
        <v>-1000</v>
      </c>
      <c r="G6" s="10"/>
      <c r="H6" s="30"/>
      <c r="I6" s="30"/>
      <c r="J6" s="30"/>
    </row>
    <row r="7" spans="1:10" ht="15" x14ac:dyDescent="0.2">
      <c r="A7" s="1"/>
      <c r="B7" s="1"/>
      <c r="C7" s="1" t="s">
        <v>838</v>
      </c>
      <c r="D7" s="1">
        <v>7630</v>
      </c>
      <c r="E7" s="10">
        <v>0</v>
      </c>
      <c r="F7" s="10">
        <v>-20000</v>
      </c>
      <c r="G7" s="10"/>
      <c r="H7" s="30"/>
      <c r="I7" s="1" t="s">
        <v>839</v>
      </c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30"/>
      <c r="I8" s="30"/>
      <c r="J8" s="30"/>
    </row>
    <row r="9" spans="1:10" ht="15" x14ac:dyDescent="0.2">
      <c r="A9" s="1"/>
      <c r="B9" s="1"/>
      <c r="C9" s="25" t="s">
        <v>80</v>
      </c>
      <c r="D9" s="1"/>
      <c r="E9" s="10">
        <f t="shared" ref="E9:F9" si="0">SUM(E4:E7)</f>
        <v>0</v>
      </c>
      <c r="F9" s="10">
        <f t="shared" si="0"/>
        <v>-53500</v>
      </c>
      <c r="G9" s="10">
        <f>E9+F9</f>
        <v>-53500</v>
      </c>
      <c r="H9" s="30"/>
      <c r="I9" s="30"/>
      <c r="J9" s="30"/>
    </row>
    <row r="10" spans="1:10" ht="15" x14ac:dyDescent="0.2">
      <c r="A10" s="1"/>
      <c r="B10" s="1"/>
      <c r="C10" s="1"/>
      <c r="D10" s="1"/>
      <c r="E10" s="10"/>
      <c r="F10" s="10"/>
      <c r="G10" s="10"/>
      <c r="H10" s="30"/>
      <c r="I10" s="30"/>
      <c r="J10" s="30"/>
    </row>
    <row r="11" spans="1:10" ht="15" x14ac:dyDescent="0.2">
      <c r="A11" s="1"/>
      <c r="B11" s="25" t="s">
        <v>81</v>
      </c>
      <c r="H11" s="30"/>
      <c r="I11" s="30"/>
      <c r="J11" s="30"/>
    </row>
    <row r="12" spans="1:10" ht="15" x14ac:dyDescent="0.2">
      <c r="A12" s="1"/>
      <c r="B12" s="1"/>
      <c r="C12" s="1" t="s">
        <v>85</v>
      </c>
      <c r="D12" s="1">
        <v>4044</v>
      </c>
      <c r="E12" s="10">
        <v>0</v>
      </c>
      <c r="F12" s="10">
        <v>-9000</v>
      </c>
      <c r="G12" s="10"/>
      <c r="H12" s="30"/>
      <c r="I12" s="30" t="s">
        <v>348</v>
      </c>
      <c r="J12" s="30"/>
    </row>
    <row r="13" spans="1:10" ht="15" x14ac:dyDescent="0.2">
      <c r="A13" s="1"/>
      <c r="B13" s="1"/>
      <c r="C13" s="1" t="s">
        <v>84</v>
      </c>
      <c r="D13" s="1">
        <v>3044</v>
      </c>
      <c r="E13" s="10">
        <v>4500</v>
      </c>
      <c r="F13" s="10">
        <v>0</v>
      </c>
      <c r="G13" s="10"/>
      <c r="H13" s="30"/>
      <c r="I13" s="30"/>
      <c r="J13" s="30"/>
    </row>
    <row r="14" spans="1:10" ht="15" x14ac:dyDescent="0.2">
      <c r="A14" s="1"/>
      <c r="B14" s="1"/>
      <c r="C14" s="1" t="s">
        <v>82</v>
      </c>
      <c r="D14" s="1">
        <v>7631</v>
      </c>
      <c r="E14" s="10">
        <v>0</v>
      </c>
      <c r="F14" s="10">
        <v>-9000</v>
      </c>
      <c r="G14" s="10"/>
      <c r="H14" s="30"/>
      <c r="I14" s="30"/>
      <c r="J14" s="30"/>
    </row>
    <row r="15" spans="1:10" ht="15" x14ac:dyDescent="0.2">
      <c r="A15" s="1"/>
      <c r="B15" s="1"/>
      <c r="C15" s="1" t="s">
        <v>83</v>
      </c>
      <c r="D15" s="1">
        <v>7691</v>
      </c>
      <c r="E15" s="10">
        <v>0</v>
      </c>
      <c r="F15" s="10">
        <v>-5400</v>
      </c>
      <c r="G15" s="10"/>
      <c r="H15" s="30"/>
      <c r="I15" s="30"/>
      <c r="J15" s="30"/>
    </row>
    <row r="16" spans="1:10" ht="15" x14ac:dyDescent="0.2">
      <c r="A16" s="1"/>
      <c r="B16" s="25"/>
      <c r="C16" s="1"/>
      <c r="D16" s="1"/>
      <c r="E16" s="10"/>
      <c r="F16" s="10"/>
      <c r="G16" s="10"/>
      <c r="H16" s="30"/>
      <c r="I16" s="30"/>
      <c r="J16" s="30"/>
    </row>
    <row r="17" spans="1:10" ht="15" x14ac:dyDescent="0.2">
      <c r="A17" s="1"/>
      <c r="B17" s="1"/>
      <c r="C17" s="25" t="s">
        <v>80</v>
      </c>
      <c r="D17" s="1"/>
      <c r="E17" s="10">
        <f t="shared" ref="E17:F17" si="1">SUM(E12:E15)</f>
        <v>4500</v>
      </c>
      <c r="F17" s="10">
        <f t="shared" si="1"/>
        <v>-23400</v>
      </c>
      <c r="G17" s="10">
        <f>E17+F17</f>
        <v>-18900</v>
      </c>
      <c r="H17" s="30"/>
      <c r="I17" s="30"/>
      <c r="J17" s="30"/>
    </row>
    <row r="18" spans="1:10" ht="15" x14ac:dyDescent="0.2">
      <c r="A18" s="1"/>
      <c r="B18" s="1"/>
      <c r="C18" s="1"/>
      <c r="D18" s="1"/>
      <c r="E18" s="10"/>
      <c r="F18" s="10"/>
      <c r="G18" s="10"/>
      <c r="H18" s="30"/>
      <c r="I18" s="30"/>
      <c r="J18" s="30"/>
    </row>
    <row r="19" spans="1:10" ht="15" x14ac:dyDescent="0.2">
      <c r="A19" s="1"/>
      <c r="B19" s="25" t="s">
        <v>840</v>
      </c>
      <c r="C19" s="1"/>
      <c r="D19" s="1"/>
      <c r="E19" s="10"/>
      <c r="F19" s="10"/>
      <c r="G19" s="10"/>
      <c r="H19" s="30"/>
      <c r="I19" s="30"/>
      <c r="J19" s="30"/>
    </row>
    <row r="20" spans="1:10" ht="15" x14ac:dyDescent="0.2">
      <c r="A20" s="1"/>
      <c r="B20" s="1"/>
      <c r="C20" s="1" t="s">
        <v>841</v>
      </c>
      <c r="D20" s="1">
        <v>4045</v>
      </c>
      <c r="E20" s="10">
        <v>0</v>
      </c>
      <c r="F20" s="10">
        <v>-3000</v>
      </c>
      <c r="G20" s="10"/>
      <c r="H20" s="30"/>
      <c r="I20" s="30"/>
      <c r="J20" s="30"/>
    </row>
    <row r="21" spans="1:10" ht="15" x14ac:dyDescent="0.2">
      <c r="A21" s="1"/>
      <c r="B21" s="1"/>
      <c r="C21" s="1" t="s">
        <v>842</v>
      </c>
      <c r="D21" s="1">
        <v>4045</v>
      </c>
      <c r="E21" s="10">
        <v>0</v>
      </c>
      <c r="F21" s="10">
        <v>-6000</v>
      </c>
      <c r="G21" s="10"/>
      <c r="H21" s="30"/>
      <c r="I21" s="30"/>
      <c r="J21" s="30"/>
    </row>
    <row r="22" spans="1:10" ht="15" x14ac:dyDescent="0.2">
      <c r="A22" s="1"/>
      <c r="B22" s="1"/>
      <c r="C22" s="1" t="s">
        <v>843</v>
      </c>
      <c r="D22" s="1">
        <v>4045</v>
      </c>
      <c r="E22" s="10">
        <v>0</v>
      </c>
      <c r="F22" s="10">
        <v>-3000</v>
      </c>
      <c r="G22" s="10"/>
      <c r="H22" s="30"/>
      <c r="I22" s="30"/>
      <c r="J22" s="30"/>
    </row>
    <row r="23" spans="1:10" ht="15" x14ac:dyDescent="0.2">
      <c r="A23" s="1"/>
      <c r="B23" s="1"/>
      <c r="C23" s="1"/>
      <c r="D23" s="1"/>
      <c r="E23" s="10"/>
      <c r="F23" s="10"/>
      <c r="G23" s="10"/>
      <c r="H23" s="30"/>
      <c r="I23" s="30"/>
      <c r="J23" s="30"/>
    </row>
    <row r="24" spans="1:10" ht="15" x14ac:dyDescent="0.2">
      <c r="A24" s="1"/>
      <c r="B24" s="1"/>
      <c r="C24" s="25" t="s">
        <v>80</v>
      </c>
      <c r="D24" s="1"/>
      <c r="E24" s="10">
        <f t="shared" ref="E24:F24" si="2">SUM(E20:E22)</f>
        <v>0</v>
      </c>
      <c r="F24" s="10">
        <f t="shared" si="2"/>
        <v>-12000</v>
      </c>
      <c r="G24" s="10">
        <f>E24+F24</f>
        <v>-12000</v>
      </c>
      <c r="H24" s="30"/>
      <c r="I24" s="30"/>
      <c r="J24" s="30"/>
    </row>
    <row r="25" spans="1:10" ht="15" x14ac:dyDescent="0.2">
      <c r="A25" s="1"/>
      <c r="B25" s="1"/>
      <c r="C25" s="30"/>
      <c r="D25" s="30"/>
      <c r="E25" s="30"/>
      <c r="F25" s="30"/>
      <c r="G25" s="30"/>
      <c r="H25" s="30"/>
      <c r="I25" s="30"/>
      <c r="J25" s="30"/>
    </row>
    <row r="26" spans="1:10" ht="15" x14ac:dyDescent="0.2">
      <c r="A26" s="1"/>
      <c r="B26" s="25" t="s">
        <v>844</v>
      </c>
      <c r="C26" s="25"/>
      <c r="D26" s="1"/>
      <c r="E26" s="10"/>
      <c r="F26" s="10"/>
      <c r="G26" s="10"/>
      <c r="H26" s="30"/>
      <c r="I26" s="30"/>
      <c r="J26" s="30"/>
    </row>
    <row r="27" spans="1:10" ht="15" x14ac:dyDescent="0.2">
      <c r="A27" s="1"/>
      <c r="B27" s="25"/>
      <c r="C27" s="1" t="s">
        <v>845</v>
      </c>
      <c r="D27" s="1">
        <v>4041</v>
      </c>
      <c r="E27" s="10">
        <v>0</v>
      </c>
      <c r="F27" s="10">
        <v>-10000</v>
      </c>
      <c r="G27" s="10"/>
      <c r="H27" s="30"/>
      <c r="I27" s="30"/>
      <c r="J27" s="30"/>
    </row>
    <row r="28" spans="1:10" ht="15" x14ac:dyDescent="0.2">
      <c r="A28" s="1"/>
      <c r="B28" s="25"/>
      <c r="C28" s="1" t="s">
        <v>618</v>
      </c>
      <c r="D28" s="1">
        <v>5830</v>
      </c>
      <c r="E28" s="10">
        <v>0</v>
      </c>
      <c r="F28" s="10">
        <v>-15000</v>
      </c>
      <c r="G28" s="10"/>
      <c r="H28" s="30"/>
      <c r="I28" s="30"/>
      <c r="J28" s="30"/>
    </row>
    <row r="29" spans="1:10" ht="15" x14ac:dyDescent="0.2">
      <c r="A29" s="1"/>
      <c r="B29" s="1"/>
      <c r="C29" s="1" t="s">
        <v>617</v>
      </c>
      <c r="D29" s="1">
        <v>5800</v>
      </c>
      <c r="E29" s="10">
        <v>0</v>
      </c>
      <c r="F29" s="10">
        <v>-7500</v>
      </c>
      <c r="G29" s="10"/>
      <c r="H29" s="30"/>
      <c r="I29" s="30"/>
      <c r="J29" s="30"/>
    </row>
    <row r="30" spans="1:10" ht="15" x14ac:dyDescent="0.2">
      <c r="A30" s="1"/>
      <c r="B30" s="1"/>
      <c r="C30" s="1"/>
      <c r="D30" s="1"/>
      <c r="E30" s="10"/>
      <c r="F30" s="10"/>
      <c r="G30" s="10"/>
      <c r="H30" s="30"/>
      <c r="I30" s="30"/>
      <c r="J30" s="30"/>
    </row>
    <row r="31" spans="1:10" ht="15" x14ac:dyDescent="0.2">
      <c r="A31" s="1"/>
      <c r="B31" s="1"/>
      <c r="C31" s="25" t="s">
        <v>80</v>
      </c>
      <c r="D31" s="1"/>
      <c r="E31" s="10">
        <f t="shared" ref="E31:F31" si="3">SUM(E27:E29)</f>
        <v>0</v>
      </c>
      <c r="F31" s="10">
        <f t="shared" si="3"/>
        <v>-32500</v>
      </c>
      <c r="G31" s="10">
        <f>E31+F31</f>
        <v>-32500</v>
      </c>
      <c r="H31" s="30"/>
      <c r="I31" s="30"/>
      <c r="J31" s="30"/>
    </row>
    <row r="32" spans="1:10" ht="15" x14ac:dyDescent="0.2">
      <c r="A32" s="1"/>
      <c r="B32" s="1"/>
      <c r="C32" s="1"/>
      <c r="D32" s="1"/>
      <c r="E32" s="10"/>
      <c r="F32" s="10"/>
      <c r="G32" s="10"/>
      <c r="H32" s="30"/>
      <c r="I32" s="30"/>
      <c r="J32" s="30"/>
    </row>
    <row r="33" spans="1:10" ht="15" x14ac:dyDescent="0.2">
      <c r="A33" s="1"/>
      <c r="B33" s="25" t="s">
        <v>846</v>
      </c>
      <c r="C33" s="1"/>
      <c r="D33" s="1"/>
      <c r="E33" s="10"/>
      <c r="F33" s="10"/>
      <c r="G33" s="10"/>
      <c r="H33" s="30"/>
      <c r="I33" s="30"/>
      <c r="J33" s="30"/>
    </row>
    <row r="34" spans="1:10" ht="15" x14ac:dyDescent="0.2">
      <c r="A34" s="1"/>
      <c r="B34" s="1"/>
      <c r="C34" s="1" t="s">
        <v>88</v>
      </c>
      <c r="D34" s="1" t="s">
        <v>89</v>
      </c>
      <c r="E34" s="10">
        <v>1600</v>
      </c>
      <c r="F34" s="10">
        <v>0</v>
      </c>
      <c r="G34" s="10"/>
      <c r="H34" s="30"/>
      <c r="I34" s="30" t="s">
        <v>588</v>
      </c>
      <c r="J34" s="30"/>
    </row>
    <row r="35" spans="1:10" ht="15" x14ac:dyDescent="0.2">
      <c r="A35" s="1"/>
      <c r="B35" s="1"/>
      <c r="C35" s="1" t="s">
        <v>172</v>
      </c>
      <c r="D35" s="1">
        <v>4029</v>
      </c>
      <c r="E35" s="10">
        <v>0</v>
      </c>
      <c r="F35" s="10">
        <v>-2000</v>
      </c>
      <c r="G35" s="10"/>
      <c r="H35" s="30"/>
      <c r="I35" s="30"/>
      <c r="J35" s="30"/>
    </row>
    <row r="36" spans="1:10" ht="15" x14ac:dyDescent="0.2">
      <c r="A36" s="1"/>
      <c r="B36" s="1"/>
      <c r="C36" s="1" t="s">
        <v>96</v>
      </c>
      <c r="D36" s="1">
        <v>5411</v>
      </c>
      <c r="E36" s="10">
        <v>0</v>
      </c>
      <c r="F36" s="10">
        <v>-500</v>
      </c>
      <c r="G36" s="10"/>
      <c r="H36" s="30"/>
      <c r="I36" s="30"/>
      <c r="J36" s="30"/>
    </row>
    <row r="37" spans="1:10" ht="15" x14ac:dyDescent="0.2">
      <c r="A37" s="1"/>
      <c r="B37" s="1"/>
      <c r="C37" s="30" t="s">
        <v>101</v>
      </c>
      <c r="D37" s="30">
        <v>5010</v>
      </c>
      <c r="E37" s="10">
        <v>0</v>
      </c>
      <c r="F37" s="10">
        <v>-600</v>
      </c>
      <c r="G37" s="25"/>
      <c r="H37" s="30"/>
      <c r="I37" s="30"/>
      <c r="J37" s="30"/>
    </row>
    <row r="38" spans="1:10" ht="15" x14ac:dyDescent="0.2">
      <c r="A38" s="30"/>
      <c r="B38" s="30"/>
      <c r="C38" s="1" t="s">
        <v>91</v>
      </c>
      <c r="D38" s="1" t="s">
        <v>179</v>
      </c>
      <c r="E38" s="10">
        <v>0</v>
      </c>
      <c r="F38" s="10">
        <v>-1000</v>
      </c>
      <c r="G38" s="10"/>
      <c r="H38" s="30"/>
      <c r="I38" s="30"/>
      <c r="J38" s="30"/>
    </row>
    <row r="39" spans="1:10" ht="15" x14ac:dyDescent="0.2">
      <c r="A39" s="30"/>
      <c r="B39" s="30"/>
      <c r="C39" s="30"/>
      <c r="D39" s="30"/>
      <c r="E39" s="32"/>
      <c r="F39" s="10"/>
      <c r="G39" s="10"/>
      <c r="H39" s="30"/>
      <c r="I39" s="30"/>
      <c r="J39" s="30"/>
    </row>
    <row r="40" spans="1:10" ht="15" x14ac:dyDescent="0.2">
      <c r="A40" s="30"/>
      <c r="B40" s="30"/>
      <c r="C40" s="136" t="s">
        <v>80</v>
      </c>
      <c r="D40" s="30"/>
      <c r="E40" s="10">
        <f t="shared" ref="E40:F40" si="4">SUM(E34:E38)</f>
        <v>1600</v>
      </c>
      <c r="F40" s="10">
        <f t="shared" si="4"/>
        <v>-4100</v>
      </c>
      <c r="G40" s="10">
        <f>E40+F40</f>
        <v>-2500</v>
      </c>
      <c r="H40" s="30"/>
      <c r="I40" s="30"/>
      <c r="J40" s="30"/>
    </row>
    <row r="41" spans="1:10" ht="15" x14ac:dyDescent="0.2">
      <c r="A41" s="30"/>
      <c r="B41" s="30"/>
      <c r="C41" s="30"/>
      <c r="D41" s="30"/>
      <c r="E41" s="32"/>
      <c r="F41" s="10"/>
      <c r="G41" s="10"/>
      <c r="H41" s="30"/>
      <c r="I41" s="30"/>
      <c r="J41" s="30"/>
    </row>
    <row r="42" spans="1:10" ht="15.75" customHeight="1" x14ac:dyDescent="0.15">
      <c r="E42" s="33"/>
      <c r="F42" s="33"/>
      <c r="G42" s="33"/>
    </row>
    <row r="43" spans="1:10" ht="14" x14ac:dyDescent="0.2">
      <c r="C43" s="25" t="s">
        <v>102</v>
      </c>
      <c r="D43" s="1"/>
      <c r="E43" s="8">
        <f t="shared" ref="E43:F43" si="5">SUMIFS(E2:E42,$C2:$C42,"Subsubtotal")</f>
        <v>6100</v>
      </c>
      <c r="F43" s="31">
        <f t="shared" si="5"/>
        <v>-125500</v>
      </c>
      <c r="G43" s="10">
        <f>SUM(G2:G42)</f>
        <v>-119400</v>
      </c>
    </row>
    <row r="44" spans="1:10" ht="15.75" customHeight="1" x14ac:dyDescent="0.15">
      <c r="E44" s="33"/>
      <c r="F44" s="33"/>
      <c r="G44" s="33"/>
    </row>
    <row r="45" spans="1:10" ht="15.75" customHeight="1" x14ac:dyDescent="0.15">
      <c r="E45" s="33"/>
      <c r="F45" s="33"/>
      <c r="G45" s="33"/>
    </row>
    <row r="46" spans="1:10" ht="14" x14ac:dyDescent="0.2">
      <c r="E46" s="10"/>
      <c r="F46" s="10"/>
      <c r="G46" s="10"/>
    </row>
    <row r="47" spans="1:10" ht="14" x14ac:dyDescent="0.2">
      <c r="E47" s="10"/>
      <c r="F47" s="10"/>
      <c r="G47" s="10"/>
    </row>
    <row r="48" spans="1:10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4" x14ac:dyDescent="0.2">
      <c r="E55" s="10"/>
      <c r="F55" s="10"/>
      <c r="G55" s="10"/>
    </row>
    <row r="56" spans="5:7" ht="14" x14ac:dyDescent="0.2">
      <c r="E56" s="10"/>
      <c r="F56" s="10"/>
      <c r="G56" s="10"/>
    </row>
    <row r="57" spans="5:7" ht="14" x14ac:dyDescent="0.2">
      <c r="E57" s="10"/>
      <c r="F57" s="10"/>
      <c r="G57" s="10"/>
    </row>
    <row r="58" spans="5:7" ht="14" x14ac:dyDescent="0.2">
      <c r="E58" s="10"/>
      <c r="F58" s="10"/>
      <c r="G58" s="10"/>
    </row>
    <row r="59" spans="5:7" ht="14" x14ac:dyDescent="0.2">
      <c r="E59" s="10"/>
      <c r="F59" s="10"/>
      <c r="G59" s="10"/>
    </row>
    <row r="60" spans="5:7" ht="14" x14ac:dyDescent="0.2">
      <c r="E60" s="10"/>
      <c r="F60" s="10"/>
      <c r="G60" s="10"/>
    </row>
    <row r="61" spans="5:7" ht="14" x14ac:dyDescent="0.2">
      <c r="E61" s="10"/>
      <c r="F61" s="10"/>
      <c r="G61" s="10"/>
    </row>
    <row r="62" spans="5:7" ht="14" x14ac:dyDescent="0.2">
      <c r="E62" s="10"/>
      <c r="F62" s="10"/>
      <c r="G62" s="10"/>
    </row>
    <row r="63" spans="5:7" ht="14" x14ac:dyDescent="0.2">
      <c r="E63" s="10"/>
      <c r="F63" s="10"/>
      <c r="G63" s="10"/>
    </row>
    <row r="64" spans="5:7" ht="14" x14ac:dyDescent="0.2">
      <c r="E64" s="10"/>
      <c r="F64" s="10"/>
      <c r="G64" s="10"/>
    </row>
    <row r="65" spans="5:7" ht="14" x14ac:dyDescent="0.2">
      <c r="E65" s="10"/>
      <c r="F65" s="10"/>
      <c r="G65" s="10"/>
    </row>
    <row r="66" spans="5:7" ht="14" x14ac:dyDescent="0.2">
      <c r="E66" s="10"/>
      <c r="F66" s="10"/>
      <c r="G66" s="10"/>
    </row>
    <row r="67" spans="5:7" ht="14" x14ac:dyDescent="0.2">
      <c r="E67" s="10"/>
      <c r="F67" s="10"/>
      <c r="G67" s="10"/>
    </row>
    <row r="68" spans="5:7" ht="14" x14ac:dyDescent="0.2">
      <c r="E68" s="10"/>
      <c r="F68" s="10"/>
      <c r="G68" s="10"/>
    </row>
    <row r="69" spans="5:7" ht="14" x14ac:dyDescent="0.2">
      <c r="E69" s="10"/>
      <c r="F69" s="10"/>
      <c r="G69" s="10"/>
    </row>
    <row r="70" spans="5:7" ht="14" x14ac:dyDescent="0.2">
      <c r="E70" s="10"/>
      <c r="F70" s="10"/>
      <c r="G70" s="10"/>
    </row>
    <row r="71" spans="5:7" ht="14" x14ac:dyDescent="0.2">
      <c r="E71" s="10"/>
      <c r="F71" s="10"/>
      <c r="G71" s="10"/>
    </row>
    <row r="72" spans="5:7" ht="14" x14ac:dyDescent="0.2">
      <c r="E72" s="10"/>
      <c r="F72" s="10"/>
      <c r="G72" s="10"/>
    </row>
    <row r="73" spans="5:7" ht="14" x14ac:dyDescent="0.2">
      <c r="E73" s="10"/>
      <c r="F73" s="10"/>
      <c r="G73" s="10"/>
    </row>
    <row r="74" spans="5:7" ht="14" x14ac:dyDescent="0.2">
      <c r="E74" s="10"/>
      <c r="F74" s="10"/>
      <c r="G74" s="10"/>
    </row>
    <row r="75" spans="5:7" ht="14" x14ac:dyDescent="0.2">
      <c r="E75" s="10"/>
      <c r="F75" s="10"/>
      <c r="G75" s="10"/>
    </row>
    <row r="76" spans="5:7" ht="14" x14ac:dyDescent="0.2">
      <c r="E76" s="10"/>
      <c r="F76" s="10"/>
      <c r="G76" s="10"/>
    </row>
    <row r="77" spans="5:7" ht="14" x14ac:dyDescent="0.2">
      <c r="E77" s="10"/>
      <c r="F77" s="10"/>
      <c r="G77" s="10"/>
    </row>
    <row r="78" spans="5:7" ht="14" x14ac:dyDescent="0.2">
      <c r="E78" s="10"/>
      <c r="F78" s="10"/>
      <c r="G78" s="10"/>
    </row>
    <row r="79" spans="5:7" ht="14" x14ac:dyDescent="0.2">
      <c r="E79" s="10"/>
      <c r="F79" s="10"/>
      <c r="G79" s="10"/>
    </row>
    <row r="80" spans="5:7" ht="14" x14ac:dyDescent="0.2">
      <c r="E80" s="10"/>
      <c r="F80" s="10"/>
      <c r="G80" s="10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  <row r="721" spans="5:7" ht="13" x14ac:dyDescent="0.15">
      <c r="E721" s="33"/>
      <c r="F721" s="33"/>
      <c r="G721" s="33"/>
    </row>
    <row r="722" spans="5:7" ht="13" x14ac:dyDescent="0.15">
      <c r="E722" s="33"/>
      <c r="F722" s="33"/>
      <c r="G722" s="33"/>
    </row>
    <row r="723" spans="5:7" ht="13" x14ac:dyDescent="0.15">
      <c r="E723" s="33"/>
      <c r="F723" s="33"/>
      <c r="G723" s="33"/>
    </row>
    <row r="724" spans="5:7" ht="13" x14ac:dyDescent="0.15">
      <c r="E724" s="33"/>
      <c r="F724" s="33"/>
      <c r="G724" s="33"/>
    </row>
    <row r="725" spans="5:7" ht="13" x14ac:dyDescent="0.15">
      <c r="E725" s="33"/>
      <c r="F725" s="33"/>
      <c r="G725" s="33"/>
    </row>
    <row r="726" spans="5:7" ht="13" x14ac:dyDescent="0.15">
      <c r="E726" s="33"/>
      <c r="F726" s="33"/>
      <c r="G726" s="33"/>
    </row>
    <row r="727" spans="5:7" ht="13" x14ac:dyDescent="0.15">
      <c r="E727" s="33"/>
      <c r="F727" s="33"/>
      <c r="G727" s="33"/>
    </row>
    <row r="728" spans="5:7" ht="13" x14ac:dyDescent="0.15">
      <c r="E728" s="33"/>
      <c r="F728" s="33"/>
      <c r="G728" s="33"/>
    </row>
    <row r="729" spans="5:7" ht="13" x14ac:dyDescent="0.15">
      <c r="E729" s="33"/>
      <c r="F729" s="33"/>
      <c r="G729" s="33"/>
    </row>
    <row r="730" spans="5:7" ht="13" x14ac:dyDescent="0.15">
      <c r="E730" s="33"/>
      <c r="F730" s="33"/>
      <c r="G730" s="33"/>
    </row>
    <row r="731" spans="5:7" ht="13" x14ac:dyDescent="0.15">
      <c r="E731" s="33"/>
      <c r="F731" s="33"/>
      <c r="G731" s="33"/>
    </row>
    <row r="732" spans="5:7" ht="13" x14ac:dyDescent="0.15">
      <c r="E732" s="33"/>
      <c r="F732" s="33"/>
      <c r="G732" s="33"/>
    </row>
    <row r="733" spans="5:7" ht="13" x14ac:dyDescent="0.15">
      <c r="E733" s="33"/>
      <c r="F733" s="33"/>
      <c r="G733" s="33"/>
    </row>
    <row r="734" spans="5:7" ht="13" x14ac:dyDescent="0.15">
      <c r="E734" s="33"/>
      <c r="F734" s="33"/>
      <c r="G734" s="33"/>
    </row>
    <row r="735" spans="5:7" ht="13" x14ac:dyDescent="0.15">
      <c r="E735" s="33"/>
      <c r="F735" s="33"/>
      <c r="G735" s="33"/>
    </row>
    <row r="736" spans="5:7" ht="13" x14ac:dyDescent="0.15">
      <c r="E736" s="33"/>
      <c r="F736" s="33"/>
      <c r="G736" s="33"/>
    </row>
    <row r="737" spans="5:7" ht="13" x14ac:dyDescent="0.15">
      <c r="E737" s="33"/>
      <c r="F737" s="33"/>
      <c r="G737" s="33"/>
    </row>
    <row r="738" spans="5:7" ht="13" x14ac:dyDescent="0.15">
      <c r="E738" s="33"/>
      <c r="F738" s="33"/>
      <c r="G738" s="33"/>
    </row>
    <row r="739" spans="5:7" ht="13" x14ac:dyDescent="0.15">
      <c r="E739" s="33"/>
      <c r="F739" s="33"/>
      <c r="G739" s="33"/>
    </row>
    <row r="740" spans="5:7" ht="13" x14ac:dyDescent="0.15">
      <c r="E740" s="33"/>
      <c r="F740" s="33"/>
      <c r="G740" s="33"/>
    </row>
    <row r="741" spans="5:7" ht="13" x14ac:dyDescent="0.15">
      <c r="E741" s="33"/>
      <c r="F741" s="33"/>
      <c r="G741" s="33"/>
    </row>
    <row r="742" spans="5:7" ht="13" x14ac:dyDescent="0.15">
      <c r="E742" s="33"/>
      <c r="F742" s="33"/>
      <c r="G742" s="33"/>
    </row>
    <row r="743" spans="5:7" ht="13" x14ac:dyDescent="0.15">
      <c r="E743" s="33"/>
      <c r="F743" s="33"/>
      <c r="G743" s="33"/>
    </row>
    <row r="744" spans="5:7" ht="13" x14ac:dyDescent="0.15">
      <c r="E744" s="33"/>
      <c r="F744" s="33"/>
      <c r="G744" s="33"/>
    </row>
  </sheetData>
  <conditionalFormatting sqref="E2:G744">
    <cfRule type="cellIs" dxfId="15" priority="1" operator="greaterThan">
      <formula>0</formula>
    </cfRule>
    <cfRule type="cellIs" dxfId="14" priority="2" operator="lessThan">
      <formula>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K727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1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1" ht="15.75" customHeight="1" x14ac:dyDescent="0.25">
      <c r="A2" s="26" t="s">
        <v>49</v>
      </c>
      <c r="B2" s="28"/>
      <c r="C2" s="28"/>
      <c r="D2" s="28"/>
      <c r="E2" s="29"/>
      <c r="F2" s="29"/>
      <c r="G2" s="29"/>
    </row>
    <row r="3" spans="1:11" ht="15" x14ac:dyDescent="0.2">
      <c r="A3" s="1" t="s">
        <v>58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1" ht="15" x14ac:dyDescent="0.2">
      <c r="A4" s="1"/>
      <c r="B4" s="1"/>
      <c r="C4" s="1" t="s">
        <v>847</v>
      </c>
      <c r="D4" s="1">
        <v>7630</v>
      </c>
      <c r="E4" s="10">
        <v>0</v>
      </c>
      <c r="F4" s="10">
        <v>-2000</v>
      </c>
      <c r="G4" s="10"/>
      <c r="H4" s="30"/>
      <c r="I4" s="30"/>
      <c r="J4" s="30"/>
    </row>
    <row r="5" spans="1:11" ht="15" x14ac:dyDescent="0.2">
      <c r="A5" s="1"/>
      <c r="B5" s="1"/>
      <c r="C5" s="1"/>
      <c r="D5" s="1"/>
      <c r="E5" s="10"/>
      <c r="F5" s="10"/>
      <c r="G5" s="10"/>
      <c r="H5" s="30"/>
      <c r="I5" s="30"/>
      <c r="J5" s="30"/>
    </row>
    <row r="6" spans="1:11" ht="15" x14ac:dyDescent="0.2">
      <c r="A6" s="1"/>
      <c r="B6" s="1"/>
      <c r="C6" s="25" t="s">
        <v>80</v>
      </c>
      <c r="D6" s="1"/>
      <c r="E6" s="10">
        <f t="shared" ref="E6:F6" si="0">E4</f>
        <v>0</v>
      </c>
      <c r="F6" s="10">
        <f t="shared" si="0"/>
        <v>-2000</v>
      </c>
      <c r="G6" s="10">
        <f>E6+F6</f>
        <v>-2000</v>
      </c>
      <c r="H6" s="30"/>
      <c r="I6" s="30"/>
      <c r="J6" s="30"/>
    </row>
    <row r="7" spans="1:11" ht="15" x14ac:dyDescent="0.2">
      <c r="A7" s="1"/>
      <c r="B7" s="1"/>
      <c r="C7" s="1"/>
      <c r="D7" s="1"/>
      <c r="E7" s="10"/>
      <c r="F7" s="10"/>
      <c r="G7" s="10"/>
      <c r="H7" s="30"/>
      <c r="I7" s="30"/>
      <c r="J7" s="30"/>
    </row>
    <row r="8" spans="1:11" ht="15" x14ac:dyDescent="0.2">
      <c r="A8" s="1"/>
      <c r="B8" s="25" t="s">
        <v>81</v>
      </c>
      <c r="C8" s="1"/>
      <c r="D8" s="1"/>
      <c r="E8" s="10"/>
      <c r="F8" s="10"/>
      <c r="G8" s="10"/>
      <c r="H8" s="30"/>
      <c r="I8" s="30"/>
      <c r="J8" s="30"/>
    </row>
    <row r="9" spans="1:11" ht="15" x14ac:dyDescent="0.2">
      <c r="A9" s="1"/>
      <c r="B9" s="25"/>
      <c r="C9" s="1" t="s">
        <v>82</v>
      </c>
      <c r="D9" s="1">
        <v>7631</v>
      </c>
      <c r="E9" s="10">
        <v>0</v>
      </c>
      <c r="F9" s="10">
        <v>-3500</v>
      </c>
      <c r="G9" s="10"/>
      <c r="H9" s="30"/>
      <c r="I9" s="30"/>
      <c r="J9" s="30"/>
    </row>
    <row r="10" spans="1:11" ht="15" x14ac:dyDescent="0.2">
      <c r="A10" s="1"/>
      <c r="B10" s="1"/>
      <c r="C10" s="1" t="s">
        <v>83</v>
      </c>
      <c r="D10" s="1">
        <v>7691</v>
      </c>
      <c r="E10" s="10">
        <v>0</v>
      </c>
      <c r="F10" s="10">
        <v>-1050</v>
      </c>
      <c r="G10" s="10"/>
      <c r="H10" s="30"/>
      <c r="I10" s="30"/>
      <c r="J10" s="30"/>
    </row>
    <row r="11" spans="1:11" ht="15" x14ac:dyDescent="0.2">
      <c r="A11" s="1"/>
      <c r="B11" s="1"/>
      <c r="C11" s="1" t="s">
        <v>85</v>
      </c>
      <c r="D11" s="1"/>
      <c r="E11" s="10">
        <v>0</v>
      </c>
      <c r="F11" s="10">
        <v>-6500</v>
      </c>
      <c r="G11" s="10"/>
      <c r="H11" s="30"/>
      <c r="I11" s="30"/>
      <c r="J11" s="30"/>
    </row>
    <row r="12" spans="1:11" ht="15" x14ac:dyDescent="0.2">
      <c r="A12" s="1"/>
      <c r="B12" s="1"/>
      <c r="C12" s="1" t="s">
        <v>84</v>
      </c>
      <c r="D12" s="1"/>
      <c r="E12" s="10">
        <v>3250</v>
      </c>
      <c r="F12" s="10">
        <v>0</v>
      </c>
      <c r="G12" s="10"/>
      <c r="H12" s="30"/>
      <c r="I12" s="30"/>
      <c r="J12" s="30"/>
    </row>
    <row r="13" spans="1:11" ht="15" x14ac:dyDescent="0.2">
      <c r="A13" s="1"/>
      <c r="B13" s="1"/>
      <c r="C13" s="1"/>
      <c r="D13" s="1"/>
      <c r="E13" s="10"/>
      <c r="F13" s="10"/>
      <c r="G13" s="10"/>
      <c r="H13" s="30"/>
      <c r="I13" s="30"/>
      <c r="J13" s="30"/>
    </row>
    <row r="14" spans="1:11" ht="15" x14ac:dyDescent="0.2">
      <c r="A14" s="1"/>
      <c r="B14" s="1"/>
      <c r="C14" s="25" t="s">
        <v>80</v>
      </c>
      <c r="D14" s="1"/>
      <c r="E14" s="10">
        <f t="shared" ref="E14:F14" si="1">SUM(E9:E10)</f>
        <v>0</v>
      </c>
      <c r="F14" s="10">
        <f t="shared" si="1"/>
        <v>-4550</v>
      </c>
      <c r="G14" s="10">
        <f>E14+F14</f>
        <v>-4550</v>
      </c>
      <c r="H14" s="30"/>
      <c r="I14" s="30"/>
      <c r="J14" s="30"/>
    </row>
    <row r="15" spans="1:11" ht="15" x14ac:dyDescent="0.2">
      <c r="A15" s="1"/>
      <c r="B15" s="1"/>
      <c r="H15" s="30"/>
      <c r="I15" s="30"/>
      <c r="J15" s="30"/>
    </row>
    <row r="16" spans="1:11" ht="15" x14ac:dyDescent="0.2">
      <c r="A16" s="149"/>
      <c r="B16" s="150" t="s">
        <v>136</v>
      </c>
      <c r="C16" s="151"/>
      <c r="D16" s="151"/>
      <c r="E16" s="149"/>
      <c r="F16" s="149"/>
      <c r="G16" s="149"/>
      <c r="H16" s="151"/>
      <c r="I16" s="151"/>
      <c r="J16" s="151"/>
      <c r="K16" s="152"/>
    </row>
    <row r="17" spans="1:11" ht="15" x14ac:dyDescent="0.2">
      <c r="A17" s="149"/>
      <c r="B17" s="149"/>
      <c r="C17" s="149" t="s">
        <v>172</v>
      </c>
      <c r="D17" s="151">
        <v>7691</v>
      </c>
      <c r="E17" s="153">
        <v>0</v>
      </c>
      <c r="F17" s="153">
        <v>-2500</v>
      </c>
      <c r="G17" s="149"/>
      <c r="H17" s="151"/>
      <c r="I17" s="151"/>
      <c r="J17" s="151"/>
      <c r="K17" s="152"/>
    </row>
    <row r="18" spans="1:11" ht="15" x14ac:dyDescent="0.2">
      <c r="A18" s="149"/>
      <c r="B18" s="149"/>
      <c r="C18" s="149"/>
      <c r="D18" s="151"/>
      <c r="E18" s="149"/>
      <c r="F18" s="149"/>
      <c r="G18" s="149"/>
      <c r="H18" s="151"/>
      <c r="I18" s="151"/>
      <c r="J18" s="151"/>
      <c r="K18" s="152"/>
    </row>
    <row r="19" spans="1:11" ht="15" x14ac:dyDescent="0.2">
      <c r="A19" s="149"/>
      <c r="B19" s="149"/>
      <c r="C19" s="150" t="s">
        <v>80</v>
      </c>
      <c r="D19" s="151"/>
      <c r="E19" s="153">
        <f t="shared" ref="E19:F19" si="2">E17</f>
        <v>0</v>
      </c>
      <c r="F19" s="153">
        <f t="shared" si="2"/>
        <v>-2500</v>
      </c>
      <c r="G19" s="153">
        <f>E19+F19</f>
        <v>-2500</v>
      </c>
      <c r="H19" s="151"/>
      <c r="I19" s="151"/>
      <c r="J19" s="151"/>
      <c r="K19" s="152"/>
    </row>
    <row r="20" spans="1:11" ht="15" x14ac:dyDescent="0.2">
      <c r="A20" s="1"/>
      <c r="B20" s="1"/>
      <c r="E20" s="1"/>
      <c r="F20" s="1"/>
      <c r="G20" s="1"/>
      <c r="H20" s="30"/>
      <c r="I20" s="30"/>
      <c r="J20" s="30"/>
    </row>
    <row r="21" spans="1:11" ht="15" x14ac:dyDescent="0.2">
      <c r="A21" s="1"/>
      <c r="B21" s="25" t="s">
        <v>848</v>
      </c>
      <c r="C21" s="1"/>
      <c r="D21" s="1"/>
      <c r="E21" s="10"/>
      <c r="F21" s="10"/>
      <c r="G21" s="10"/>
      <c r="H21" s="30"/>
      <c r="I21" s="30"/>
      <c r="J21" s="30"/>
    </row>
    <row r="22" spans="1:11" ht="15" x14ac:dyDescent="0.2">
      <c r="A22" s="1"/>
      <c r="B22" s="1"/>
      <c r="C22" s="1" t="s">
        <v>83</v>
      </c>
      <c r="D22" s="1">
        <v>4045</v>
      </c>
      <c r="E22" s="10">
        <v>0</v>
      </c>
      <c r="F22" s="10">
        <v>-4000</v>
      </c>
      <c r="G22" s="10"/>
      <c r="H22" s="30"/>
      <c r="I22" s="30"/>
      <c r="J22" s="30"/>
    </row>
    <row r="23" spans="1:11" ht="15" x14ac:dyDescent="0.2">
      <c r="A23" s="1"/>
      <c r="B23" s="1"/>
      <c r="C23" s="1"/>
      <c r="D23" s="1"/>
      <c r="E23" s="10"/>
      <c r="F23" s="10"/>
      <c r="G23" s="10"/>
      <c r="H23" s="30"/>
      <c r="I23" s="30"/>
      <c r="J23" s="30"/>
    </row>
    <row r="24" spans="1:11" ht="15" x14ac:dyDescent="0.2">
      <c r="A24" s="1"/>
      <c r="B24" s="25"/>
      <c r="C24" s="10" t="s">
        <v>80</v>
      </c>
      <c r="D24" s="1"/>
      <c r="E24" s="10">
        <f t="shared" ref="E24:F24" si="3">E22</f>
        <v>0</v>
      </c>
      <c r="F24" s="10">
        <f t="shared" si="3"/>
        <v>-4000</v>
      </c>
      <c r="G24" s="10">
        <f>E24+F24</f>
        <v>-4000</v>
      </c>
      <c r="H24" s="30"/>
      <c r="I24" s="30"/>
      <c r="J24" s="30"/>
    </row>
    <row r="25" spans="1:11" ht="15" x14ac:dyDescent="0.2">
      <c r="A25" s="1"/>
      <c r="B25" s="1"/>
      <c r="C25" s="1"/>
      <c r="D25" s="1"/>
      <c r="E25" s="10"/>
      <c r="F25" s="10"/>
      <c r="G25" s="10"/>
      <c r="H25" s="30"/>
      <c r="I25" s="30"/>
      <c r="J25" s="30"/>
    </row>
    <row r="26" spans="1:11" ht="14" x14ac:dyDescent="0.2">
      <c r="C26" s="25" t="s">
        <v>102</v>
      </c>
      <c r="D26" s="1"/>
      <c r="E26" s="8">
        <f t="shared" ref="E26:F26" si="4">SUMIFS(E2:E25,$C2:$C25,"Subsubtotal")</f>
        <v>0</v>
      </c>
      <c r="F26" s="31">
        <f t="shared" si="4"/>
        <v>-13050</v>
      </c>
      <c r="G26" s="10">
        <f>SUM(G2:G25)</f>
        <v>-13050</v>
      </c>
    </row>
    <row r="27" spans="1:11" ht="15.75" customHeight="1" x14ac:dyDescent="0.15">
      <c r="E27" s="33"/>
      <c r="F27" s="33"/>
      <c r="G27" s="33"/>
    </row>
    <row r="28" spans="1:11" ht="15.75" customHeight="1" x14ac:dyDescent="0.15">
      <c r="E28" s="33"/>
      <c r="F28" s="33"/>
      <c r="G28" s="33"/>
    </row>
    <row r="29" spans="1:11" ht="14" x14ac:dyDescent="0.2">
      <c r="E29" s="10"/>
      <c r="F29" s="10"/>
      <c r="G29" s="10"/>
    </row>
    <row r="30" spans="1:11" ht="14" x14ac:dyDescent="0.2">
      <c r="E30" s="10"/>
      <c r="F30" s="10"/>
      <c r="G30" s="10"/>
    </row>
    <row r="31" spans="1:11" ht="14" x14ac:dyDescent="0.2">
      <c r="E31" s="10"/>
      <c r="F31" s="10"/>
      <c r="G31" s="10"/>
    </row>
    <row r="32" spans="1:11" ht="14" x14ac:dyDescent="0.2">
      <c r="E32" s="10"/>
      <c r="F32" s="10"/>
      <c r="G32" s="10"/>
    </row>
    <row r="33" spans="5:7" ht="14" x14ac:dyDescent="0.2">
      <c r="E33" s="10"/>
      <c r="F33" s="10"/>
      <c r="G33" s="10"/>
    </row>
    <row r="34" spans="5:7" ht="14" x14ac:dyDescent="0.2">
      <c r="E34" s="10"/>
      <c r="F34" s="10"/>
      <c r="G34" s="10"/>
    </row>
    <row r="35" spans="5:7" ht="14" x14ac:dyDescent="0.2">
      <c r="E35" s="10"/>
      <c r="F35" s="10"/>
      <c r="G35" s="10"/>
    </row>
    <row r="36" spans="5:7" ht="14" x14ac:dyDescent="0.2">
      <c r="E36" s="10"/>
      <c r="F36" s="10"/>
      <c r="G36" s="10"/>
    </row>
    <row r="37" spans="5:7" ht="14" x14ac:dyDescent="0.2">
      <c r="E37" s="10"/>
      <c r="F37" s="10"/>
      <c r="G37" s="10"/>
    </row>
    <row r="38" spans="5:7" ht="14" x14ac:dyDescent="0.2">
      <c r="E38" s="10"/>
      <c r="F38" s="10"/>
      <c r="G38" s="10"/>
    </row>
    <row r="39" spans="5:7" ht="14" x14ac:dyDescent="0.2">
      <c r="E39" s="10"/>
      <c r="F39" s="10"/>
      <c r="G39" s="10"/>
    </row>
    <row r="40" spans="5:7" ht="14" x14ac:dyDescent="0.2">
      <c r="E40" s="10"/>
      <c r="F40" s="10"/>
      <c r="G40" s="10"/>
    </row>
    <row r="41" spans="5:7" ht="14" x14ac:dyDescent="0.2">
      <c r="E41" s="10"/>
      <c r="F41" s="10"/>
      <c r="G41" s="10"/>
    </row>
    <row r="42" spans="5:7" ht="14" x14ac:dyDescent="0.2">
      <c r="E42" s="10"/>
      <c r="F42" s="10"/>
      <c r="G42" s="10"/>
    </row>
    <row r="43" spans="5:7" ht="14" x14ac:dyDescent="0.2">
      <c r="E43" s="10"/>
      <c r="F43" s="10"/>
      <c r="G43" s="10"/>
    </row>
    <row r="44" spans="5:7" ht="14" x14ac:dyDescent="0.2">
      <c r="E44" s="10"/>
      <c r="F44" s="10"/>
      <c r="G44" s="10"/>
    </row>
    <row r="45" spans="5:7" ht="14" x14ac:dyDescent="0.2">
      <c r="E45" s="10"/>
      <c r="F45" s="10"/>
      <c r="G45" s="10"/>
    </row>
    <row r="46" spans="5:7" ht="14" x14ac:dyDescent="0.2">
      <c r="E46" s="10"/>
      <c r="F46" s="10"/>
      <c r="G46" s="10"/>
    </row>
    <row r="47" spans="5:7" ht="14" x14ac:dyDescent="0.2">
      <c r="E47" s="10"/>
      <c r="F47" s="10"/>
      <c r="G47" s="10"/>
    </row>
    <row r="48" spans="5:7" ht="14" x14ac:dyDescent="0.2">
      <c r="E48" s="10"/>
      <c r="F48" s="10"/>
      <c r="G48" s="10"/>
    </row>
    <row r="49" spans="5:7" ht="14" x14ac:dyDescent="0.2">
      <c r="E49" s="10"/>
      <c r="F49" s="10"/>
      <c r="G49" s="10"/>
    </row>
    <row r="50" spans="5:7" ht="14" x14ac:dyDescent="0.2">
      <c r="E50" s="10"/>
      <c r="F50" s="10"/>
      <c r="G50" s="10"/>
    </row>
    <row r="51" spans="5:7" ht="14" x14ac:dyDescent="0.2">
      <c r="E51" s="10"/>
      <c r="F51" s="10"/>
      <c r="G51" s="10"/>
    </row>
    <row r="52" spans="5:7" ht="14" x14ac:dyDescent="0.2">
      <c r="E52" s="10"/>
      <c r="F52" s="10"/>
      <c r="G52" s="10"/>
    </row>
    <row r="53" spans="5:7" ht="14" x14ac:dyDescent="0.2">
      <c r="E53" s="10"/>
      <c r="F53" s="10"/>
      <c r="G53" s="10"/>
    </row>
    <row r="54" spans="5:7" ht="14" x14ac:dyDescent="0.2">
      <c r="E54" s="10"/>
      <c r="F54" s="10"/>
      <c r="G54" s="10"/>
    </row>
    <row r="55" spans="5:7" ht="14" x14ac:dyDescent="0.2">
      <c r="E55" s="10"/>
      <c r="F55" s="10"/>
      <c r="G55" s="10"/>
    </row>
    <row r="56" spans="5:7" ht="14" x14ac:dyDescent="0.2">
      <c r="E56" s="10"/>
      <c r="F56" s="10"/>
      <c r="G56" s="10"/>
    </row>
    <row r="57" spans="5:7" ht="14" x14ac:dyDescent="0.2">
      <c r="E57" s="10"/>
      <c r="F57" s="10"/>
      <c r="G57" s="10"/>
    </row>
    <row r="58" spans="5:7" ht="14" x14ac:dyDescent="0.2">
      <c r="E58" s="10"/>
      <c r="F58" s="10"/>
      <c r="G58" s="10"/>
    </row>
    <row r="59" spans="5:7" ht="14" x14ac:dyDescent="0.2">
      <c r="E59" s="10"/>
      <c r="F59" s="10"/>
      <c r="G59" s="10"/>
    </row>
    <row r="60" spans="5:7" ht="14" x14ac:dyDescent="0.2">
      <c r="E60" s="10"/>
      <c r="F60" s="10"/>
      <c r="G60" s="10"/>
    </row>
    <row r="61" spans="5:7" ht="14" x14ac:dyDescent="0.2">
      <c r="E61" s="10"/>
      <c r="F61" s="10"/>
      <c r="G61" s="10"/>
    </row>
    <row r="62" spans="5:7" ht="14" x14ac:dyDescent="0.2">
      <c r="E62" s="10"/>
      <c r="F62" s="10"/>
      <c r="G62" s="10"/>
    </row>
    <row r="63" spans="5:7" ht="14" x14ac:dyDescent="0.2">
      <c r="E63" s="10"/>
      <c r="F63" s="10"/>
      <c r="G63" s="10"/>
    </row>
    <row r="64" spans="5:7" ht="15.75" customHeight="1" x14ac:dyDescent="0.15">
      <c r="E64" s="33"/>
      <c r="F64" s="33"/>
      <c r="G64" s="33"/>
    </row>
    <row r="65" spans="5:7" ht="13" x14ac:dyDescent="0.15">
      <c r="E65" s="33"/>
      <c r="F65" s="33"/>
      <c r="G65" s="33"/>
    </row>
    <row r="66" spans="5:7" ht="13" x14ac:dyDescent="0.15">
      <c r="E66" s="33"/>
      <c r="F66" s="33"/>
      <c r="G66" s="33"/>
    </row>
    <row r="67" spans="5:7" ht="13" x14ac:dyDescent="0.15">
      <c r="E67" s="33"/>
      <c r="F67" s="33"/>
      <c r="G67" s="33"/>
    </row>
    <row r="68" spans="5:7" ht="13" x14ac:dyDescent="0.15">
      <c r="E68" s="33"/>
      <c r="F68" s="33"/>
      <c r="G68" s="33"/>
    </row>
    <row r="69" spans="5:7" ht="13" x14ac:dyDescent="0.15">
      <c r="E69" s="33"/>
      <c r="F69" s="33"/>
      <c r="G69" s="33"/>
    </row>
    <row r="70" spans="5:7" ht="13" x14ac:dyDescent="0.15">
      <c r="E70" s="33"/>
      <c r="F70" s="33"/>
      <c r="G70" s="33"/>
    </row>
    <row r="71" spans="5:7" ht="13" x14ac:dyDescent="0.15">
      <c r="E71" s="33"/>
      <c r="F71" s="33"/>
      <c r="G71" s="33"/>
    </row>
    <row r="72" spans="5:7" ht="13" x14ac:dyDescent="0.15">
      <c r="E72" s="33"/>
      <c r="F72" s="33"/>
      <c r="G72" s="33"/>
    </row>
    <row r="73" spans="5:7" ht="13" x14ac:dyDescent="0.15">
      <c r="E73" s="33"/>
      <c r="F73" s="33"/>
      <c r="G73" s="33"/>
    </row>
    <row r="74" spans="5:7" ht="13" x14ac:dyDescent="0.15">
      <c r="E74" s="33"/>
      <c r="F74" s="33"/>
      <c r="G74" s="33"/>
    </row>
    <row r="75" spans="5:7" ht="13" x14ac:dyDescent="0.15">
      <c r="E75" s="33"/>
      <c r="F75" s="33"/>
      <c r="G75" s="33"/>
    </row>
    <row r="76" spans="5:7" ht="13" x14ac:dyDescent="0.15">
      <c r="E76" s="33"/>
      <c r="F76" s="33"/>
      <c r="G76" s="33"/>
    </row>
    <row r="77" spans="5:7" ht="13" x14ac:dyDescent="0.15">
      <c r="E77" s="33"/>
      <c r="F77" s="33"/>
      <c r="G77" s="33"/>
    </row>
    <row r="78" spans="5:7" ht="13" x14ac:dyDescent="0.15">
      <c r="E78" s="33"/>
      <c r="F78" s="33"/>
      <c r="G78" s="33"/>
    </row>
    <row r="79" spans="5:7" ht="13" x14ac:dyDescent="0.15">
      <c r="E79" s="33"/>
      <c r="F79" s="33"/>
      <c r="G79" s="33"/>
    </row>
    <row r="80" spans="5:7" ht="13" x14ac:dyDescent="0.15">
      <c r="E80" s="33"/>
      <c r="F80" s="33"/>
      <c r="G80" s="33"/>
    </row>
    <row r="81" spans="5:7" ht="13" x14ac:dyDescent="0.15">
      <c r="E81" s="33"/>
      <c r="F81" s="33"/>
      <c r="G81" s="33"/>
    </row>
    <row r="82" spans="5:7" ht="13" x14ac:dyDescent="0.15">
      <c r="E82" s="33"/>
      <c r="F82" s="33"/>
      <c r="G82" s="33"/>
    </row>
    <row r="83" spans="5:7" ht="13" x14ac:dyDescent="0.15">
      <c r="E83" s="33"/>
      <c r="F83" s="33"/>
      <c r="G83" s="33"/>
    </row>
    <row r="84" spans="5:7" ht="13" x14ac:dyDescent="0.15">
      <c r="E84" s="33"/>
      <c r="F84" s="33"/>
      <c r="G84" s="33"/>
    </row>
    <row r="85" spans="5:7" ht="13" x14ac:dyDescent="0.15">
      <c r="E85" s="33"/>
      <c r="F85" s="33"/>
      <c r="G85" s="33"/>
    </row>
    <row r="86" spans="5:7" ht="13" x14ac:dyDescent="0.15">
      <c r="E86" s="33"/>
      <c r="F86" s="33"/>
      <c r="G86" s="33"/>
    </row>
    <row r="87" spans="5:7" ht="13" x14ac:dyDescent="0.15">
      <c r="E87" s="33"/>
      <c r="F87" s="33"/>
      <c r="G87" s="33"/>
    </row>
    <row r="88" spans="5:7" ht="13" x14ac:dyDescent="0.15">
      <c r="E88" s="33"/>
      <c r="F88" s="33"/>
      <c r="G88" s="33"/>
    </row>
    <row r="89" spans="5:7" ht="13" x14ac:dyDescent="0.15">
      <c r="E89" s="33"/>
      <c r="F89" s="33"/>
      <c r="G89" s="33"/>
    </row>
    <row r="90" spans="5:7" ht="13" x14ac:dyDescent="0.15">
      <c r="E90" s="33"/>
      <c r="F90" s="33"/>
      <c r="G90" s="33"/>
    </row>
    <row r="91" spans="5:7" ht="13" x14ac:dyDescent="0.15">
      <c r="E91" s="33"/>
      <c r="F91" s="33"/>
      <c r="G91" s="33"/>
    </row>
    <row r="92" spans="5:7" ht="13" x14ac:dyDescent="0.15">
      <c r="E92" s="33"/>
      <c r="F92" s="33"/>
      <c r="G92" s="33"/>
    </row>
    <row r="93" spans="5:7" ht="13" x14ac:dyDescent="0.15">
      <c r="E93" s="33"/>
      <c r="F93" s="33"/>
      <c r="G93" s="33"/>
    </row>
    <row r="94" spans="5:7" ht="13" x14ac:dyDescent="0.15">
      <c r="E94" s="33"/>
      <c r="F94" s="33"/>
      <c r="G94" s="33"/>
    </row>
    <row r="95" spans="5:7" ht="13" x14ac:dyDescent="0.15">
      <c r="E95" s="33"/>
      <c r="F95" s="33"/>
      <c r="G95" s="33"/>
    </row>
    <row r="96" spans="5:7" ht="13" x14ac:dyDescent="0.15">
      <c r="E96" s="33"/>
      <c r="F96" s="33"/>
      <c r="G96" s="33"/>
    </row>
    <row r="97" spans="5:7" ht="13" x14ac:dyDescent="0.15">
      <c r="E97" s="33"/>
      <c r="F97" s="33"/>
      <c r="G97" s="33"/>
    </row>
    <row r="98" spans="5:7" ht="13" x14ac:dyDescent="0.15">
      <c r="E98" s="33"/>
      <c r="F98" s="33"/>
      <c r="G98" s="33"/>
    </row>
    <row r="99" spans="5:7" ht="13" x14ac:dyDescent="0.15">
      <c r="E99" s="33"/>
      <c r="F99" s="33"/>
      <c r="G99" s="33"/>
    </row>
    <row r="100" spans="5:7" ht="13" x14ac:dyDescent="0.15">
      <c r="E100" s="33"/>
      <c r="F100" s="33"/>
      <c r="G100" s="33"/>
    </row>
    <row r="101" spans="5:7" ht="13" x14ac:dyDescent="0.15">
      <c r="E101" s="33"/>
      <c r="F101" s="33"/>
      <c r="G101" s="33"/>
    </row>
    <row r="102" spans="5:7" ht="13" x14ac:dyDescent="0.15">
      <c r="E102" s="33"/>
      <c r="F102" s="33"/>
      <c r="G102" s="33"/>
    </row>
    <row r="103" spans="5:7" ht="13" x14ac:dyDescent="0.15">
      <c r="E103" s="33"/>
      <c r="F103" s="33"/>
      <c r="G103" s="33"/>
    </row>
    <row r="104" spans="5:7" ht="13" x14ac:dyDescent="0.15">
      <c r="E104" s="33"/>
      <c r="F104" s="33"/>
      <c r="G104" s="33"/>
    </row>
    <row r="105" spans="5:7" ht="13" x14ac:dyDescent="0.15">
      <c r="E105" s="33"/>
      <c r="F105" s="33"/>
      <c r="G105" s="33"/>
    </row>
    <row r="106" spans="5:7" ht="13" x14ac:dyDescent="0.15">
      <c r="E106" s="33"/>
      <c r="F106" s="33"/>
      <c r="G106" s="33"/>
    </row>
    <row r="107" spans="5:7" ht="13" x14ac:dyDescent="0.15">
      <c r="E107" s="33"/>
      <c r="F107" s="33"/>
      <c r="G107" s="33"/>
    </row>
    <row r="108" spans="5:7" ht="13" x14ac:dyDescent="0.15">
      <c r="E108" s="33"/>
      <c r="F108" s="33"/>
      <c r="G108" s="33"/>
    </row>
    <row r="109" spans="5:7" ht="13" x14ac:dyDescent="0.15">
      <c r="E109" s="33"/>
      <c r="F109" s="33"/>
      <c r="G109" s="33"/>
    </row>
    <row r="110" spans="5:7" ht="13" x14ac:dyDescent="0.15">
      <c r="E110" s="33"/>
      <c r="F110" s="33"/>
      <c r="G110" s="33"/>
    </row>
    <row r="111" spans="5:7" ht="13" x14ac:dyDescent="0.15">
      <c r="E111" s="33"/>
      <c r="F111" s="33"/>
      <c r="G111" s="33"/>
    </row>
    <row r="112" spans="5:7" ht="13" x14ac:dyDescent="0.15">
      <c r="E112" s="33"/>
      <c r="F112" s="33"/>
      <c r="G112" s="33"/>
    </row>
    <row r="113" spans="5:7" ht="13" x14ac:dyDescent="0.15">
      <c r="E113" s="33"/>
      <c r="F113" s="33"/>
      <c r="G113" s="33"/>
    </row>
    <row r="114" spans="5:7" ht="13" x14ac:dyDescent="0.15">
      <c r="E114" s="33"/>
      <c r="F114" s="33"/>
      <c r="G114" s="33"/>
    </row>
    <row r="115" spans="5:7" ht="13" x14ac:dyDescent="0.15">
      <c r="E115" s="33"/>
      <c r="F115" s="33"/>
      <c r="G115" s="33"/>
    </row>
    <row r="116" spans="5:7" ht="13" x14ac:dyDescent="0.15">
      <c r="E116" s="33"/>
      <c r="F116" s="33"/>
      <c r="G116" s="33"/>
    </row>
    <row r="117" spans="5:7" ht="13" x14ac:dyDescent="0.15">
      <c r="E117" s="33"/>
      <c r="F117" s="33"/>
      <c r="G117" s="33"/>
    </row>
    <row r="118" spans="5:7" ht="13" x14ac:dyDescent="0.15">
      <c r="E118" s="33"/>
      <c r="F118" s="33"/>
      <c r="G118" s="33"/>
    </row>
    <row r="119" spans="5:7" ht="13" x14ac:dyDescent="0.15">
      <c r="E119" s="33"/>
      <c r="F119" s="33"/>
      <c r="G119" s="33"/>
    </row>
    <row r="120" spans="5:7" ht="13" x14ac:dyDescent="0.15">
      <c r="E120" s="33"/>
      <c r="F120" s="33"/>
      <c r="G120" s="33"/>
    </row>
    <row r="121" spans="5:7" ht="13" x14ac:dyDescent="0.15">
      <c r="E121" s="33"/>
      <c r="F121" s="33"/>
      <c r="G121" s="33"/>
    </row>
    <row r="122" spans="5:7" ht="13" x14ac:dyDescent="0.15">
      <c r="E122" s="33"/>
      <c r="F122" s="33"/>
      <c r="G122" s="33"/>
    </row>
    <row r="123" spans="5:7" ht="13" x14ac:dyDescent="0.15">
      <c r="E123" s="33"/>
      <c r="F123" s="33"/>
      <c r="G123" s="33"/>
    </row>
    <row r="124" spans="5:7" ht="13" x14ac:dyDescent="0.15">
      <c r="E124" s="33"/>
      <c r="F124" s="33"/>
      <c r="G124" s="33"/>
    </row>
    <row r="125" spans="5:7" ht="13" x14ac:dyDescent="0.15">
      <c r="E125" s="33"/>
      <c r="F125" s="33"/>
      <c r="G125" s="33"/>
    </row>
    <row r="126" spans="5:7" ht="13" x14ac:dyDescent="0.15">
      <c r="E126" s="33"/>
      <c r="F126" s="33"/>
      <c r="G126" s="33"/>
    </row>
    <row r="127" spans="5:7" ht="13" x14ac:dyDescent="0.15">
      <c r="E127" s="33"/>
      <c r="F127" s="33"/>
      <c r="G127" s="33"/>
    </row>
    <row r="128" spans="5:7" ht="13" x14ac:dyDescent="0.15">
      <c r="E128" s="33"/>
      <c r="F128" s="33"/>
      <c r="G128" s="33"/>
    </row>
    <row r="129" spans="5:7" ht="13" x14ac:dyDescent="0.15">
      <c r="E129" s="33"/>
      <c r="F129" s="33"/>
      <c r="G129" s="33"/>
    </row>
    <row r="130" spans="5:7" ht="13" x14ac:dyDescent="0.15">
      <c r="E130" s="33"/>
      <c r="F130" s="33"/>
      <c r="G130" s="33"/>
    </row>
    <row r="131" spans="5:7" ht="13" x14ac:dyDescent="0.15">
      <c r="E131" s="33"/>
      <c r="F131" s="33"/>
      <c r="G131" s="33"/>
    </row>
    <row r="132" spans="5:7" ht="13" x14ac:dyDescent="0.15">
      <c r="E132" s="33"/>
      <c r="F132" s="33"/>
      <c r="G132" s="33"/>
    </row>
    <row r="133" spans="5:7" ht="13" x14ac:dyDescent="0.15">
      <c r="E133" s="33"/>
      <c r="F133" s="33"/>
      <c r="G133" s="33"/>
    </row>
    <row r="134" spans="5:7" ht="13" x14ac:dyDescent="0.15">
      <c r="E134" s="33"/>
      <c r="F134" s="33"/>
      <c r="G134" s="33"/>
    </row>
    <row r="135" spans="5:7" ht="13" x14ac:dyDescent="0.15">
      <c r="E135" s="33"/>
      <c r="F135" s="33"/>
      <c r="G135" s="33"/>
    </row>
    <row r="136" spans="5:7" ht="13" x14ac:dyDescent="0.15">
      <c r="E136" s="33"/>
      <c r="F136" s="33"/>
      <c r="G136" s="33"/>
    </row>
    <row r="137" spans="5:7" ht="13" x14ac:dyDescent="0.15">
      <c r="E137" s="33"/>
      <c r="F137" s="33"/>
      <c r="G137" s="33"/>
    </row>
    <row r="138" spans="5:7" ht="13" x14ac:dyDescent="0.15">
      <c r="E138" s="33"/>
      <c r="F138" s="33"/>
      <c r="G138" s="33"/>
    </row>
    <row r="139" spans="5:7" ht="13" x14ac:dyDescent="0.15">
      <c r="E139" s="33"/>
      <c r="F139" s="33"/>
      <c r="G139" s="33"/>
    </row>
    <row r="140" spans="5:7" ht="13" x14ac:dyDescent="0.15">
      <c r="E140" s="33"/>
      <c r="F140" s="33"/>
      <c r="G140" s="33"/>
    </row>
    <row r="141" spans="5:7" ht="13" x14ac:dyDescent="0.15">
      <c r="E141" s="33"/>
      <c r="F141" s="33"/>
      <c r="G141" s="33"/>
    </row>
    <row r="142" spans="5:7" ht="13" x14ac:dyDescent="0.15">
      <c r="E142" s="33"/>
      <c r="F142" s="33"/>
      <c r="G142" s="33"/>
    </row>
    <row r="143" spans="5:7" ht="13" x14ac:dyDescent="0.15">
      <c r="E143" s="33"/>
      <c r="F143" s="33"/>
      <c r="G143" s="33"/>
    </row>
    <row r="144" spans="5:7" ht="13" x14ac:dyDescent="0.15">
      <c r="E144" s="33"/>
      <c r="F144" s="33"/>
      <c r="G144" s="33"/>
    </row>
    <row r="145" spans="5:7" ht="13" x14ac:dyDescent="0.15">
      <c r="E145" s="33"/>
      <c r="F145" s="33"/>
      <c r="G145" s="33"/>
    </row>
    <row r="146" spans="5:7" ht="13" x14ac:dyDescent="0.15">
      <c r="E146" s="33"/>
      <c r="F146" s="33"/>
      <c r="G146" s="33"/>
    </row>
    <row r="147" spans="5:7" ht="13" x14ac:dyDescent="0.15">
      <c r="E147" s="33"/>
      <c r="F147" s="33"/>
      <c r="G147" s="33"/>
    </row>
    <row r="148" spans="5:7" ht="13" x14ac:dyDescent="0.15">
      <c r="E148" s="33"/>
      <c r="F148" s="33"/>
      <c r="G148" s="33"/>
    </row>
    <row r="149" spans="5:7" ht="13" x14ac:dyDescent="0.15">
      <c r="E149" s="33"/>
      <c r="F149" s="33"/>
      <c r="G149" s="33"/>
    </row>
    <row r="150" spans="5:7" ht="13" x14ac:dyDescent="0.15">
      <c r="E150" s="33"/>
      <c r="F150" s="33"/>
      <c r="G150" s="33"/>
    </row>
    <row r="151" spans="5:7" ht="13" x14ac:dyDescent="0.15">
      <c r="E151" s="33"/>
      <c r="F151" s="33"/>
      <c r="G151" s="33"/>
    </row>
    <row r="152" spans="5:7" ht="13" x14ac:dyDescent="0.15">
      <c r="E152" s="33"/>
      <c r="F152" s="33"/>
      <c r="G152" s="33"/>
    </row>
    <row r="153" spans="5:7" ht="13" x14ac:dyDescent="0.15">
      <c r="E153" s="33"/>
      <c r="F153" s="33"/>
      <c r="G153" s="33"/>
    </row>
    <row r="154" spans="5:7" ht="13" x14ac:dyDescent="0.15">
      <c r="E154" s="33"/>
      <c r="F154" s="33"/>
      <c r="G154" s="33"/>
    </row>
    <row r="155" spans="5:7" ht="13" x14ac:dyDescent="0.15">
      <c r="E155" s="33"/>
      <c r="F155" s="33"/>
      <c r="G155" s="33"/>
    </row>
    <row r="156" spans="5:7" ht="13" x14ac:dyDescent="0.15">
      <c r="E156" s="33"/>
      <c r="F156" s="33"/>
      <c r="G156" s="33"/>
    </row>
    <row r="157" spans="5:7" ht="13" x14ac:dyDescent="0.15">
      <c r="E157" s="33"/>
      <c r="F157" s="33"/>
      <c r="G157" s="33"/>
    </row>
    <row r="158" spans="5:7" ht="13" x14ac:dyDescent="0.15">
      <c r="E158" s="33"/>
      <c r="F158" s="33"/>
      <c r="G158" s="33"/>
    </row>
    <row r="159" spans="5:7" ht="13" x14ac:dyDescent="0.15">
      <c r="E159" s="33"/>
      <c r="F159" s="33"/>
      <c r="G159" s="33"/>
    </row>
    <row r="160" spans="5:7" ht="13" x14ac:dyDescent="0.15">
      <c r="E160" s="33"/>
      <c r="F160" s="33"/>
      <c r="G160" s="33"/>
    </row>
    <row r="161" spans="5:7" ht="13" x14ac:dyDescent="0.15">
      <c r="E161" s="33"/>
      <c r="F161" s="33"/>
      <c r="G161" s="33"/>
    </row>
    <row r="162" spans="5:7" ht="13" x14ac:dyDescent="0.15">
      <c r="E162" s="33"/>
      <c r="F162" s="33"/>
      <c r="G162" s="33"/>
    </row>
    <row r="163" spans="5:7" ht="13" x14ac:dyDescent="0.15">
      <c r="E163" s="33"/>
      <c r="F163" s="33"/>
      <c r="G163" s="33"/>
    </row>
    <row r="164" spans="5:7" ht="13" x14ac:dyDescent="0.15">
      <c r="E164" s="33"/>
      <c r="F164" s="33"/>
      <c r="G164" s="33"/>
    </row>
    <row r="165" spans="5:7" ht="13" x14ac:dyDescent="0.15">
      <c r="E165" s="33"/>
      <c r="F165" s="33"/>
      <c r="G165" s="33"/>
    </row>
    <row r="166" spans="5:7" ht="13" x14ac:dyDescent="0.15">
      <c r="E166" s="33"/>
      <c r="F166" s="33"/>
      <c r="G166" s="33"/>
    </row>
    <row r="167" spans="5:7" ht="13" x14ac:dyDescent="0.15">
      <c r="E167" s="33"/>
      <c r="F167" s="33"/>
      <c r="G167" s="33"/>
    </row>
    <row r="168" spans="5:7" ht="13" x14ac:dyDescent="0.15">
      <c r="E168" s="33"/>
      <c r="F168" s="33"/>
      <c r="G168" s="33"/>
    </row>
    <row r="169" spans="5:7" ht="13" x14ac:dyDescent="0.15">
      <c r="E169" s="33"/>
      <c r="F169" s="33"/>
      <c r="G169" s="33"/>
    </row>
    <row r="170" spans="5:7" ht="13" x14ac:dyDescent="0.15">
      <c r="E170" s="33"/>
      <c r="F170" s="33"/>
      <c r="G170" s="33"/>
    </row>
    <row r="171" spans="5:7" ht="13" x14ac:dyDescent="0.15">
      <c r="E171" s="33"/>
      <c r="F171" s="33"/>
      <c r="G171" s="33"/>
    </row>
    <row r="172" spans="5:7" ht="13" x14ac:dyDescent="0.15">
      <c r="E172" s="33"/>
      <c r="F172" s="33"/>
      <c r="G172" s="33"/>
    </row>
    <row r="173" spans="5:7" ht="13" x14ac:dyDescent="0.15">
      <c r="E173" s="33"/>
      <c r="F173" s="33"/>
      <c r="G173" s="33"/>
    </row>
    <row r="174" spans="5:7" ht="13" x14ac:dyDescent="0.15">
      <c r="E174" s="33"/>
      <c r="F174" s="33"/>
      <c r="G174" s="33"/>
    </row>
    <row r="175" spans="5:7" ht="13" x14ac:dyDescent="0.15">
      <c r="E175" s="33"/>
      <c r="F175" s="33"/>
      <c r="G175" s="33"/>
    </row>
    <row r="176" spans="5:7" ht="13" x14ac:dyDescent="0.15">
      <c r="E176" s="33"/>
      <c r="F176" s="33"/>
      <c r="G176" s="33"/>
    </row>
    <row r="177" spans="5:7" ht="13" x14ac:dyDescent="0.15">
      <c r="E177" s="33"/>
      <c r="F177" s="33"/>
      <c r="G177" s="33"/>
    </row>
    <row r="178" spans="5:7" ht="13" x14ac:dyDescent="0.15">
      <c r="E178" s="33"/>
      <c r="F178" s="33"/>
      <c r="G178" s="33"/>
    </row>
    <row r="179" spans="5:7" ht="13" x14ac:dyDescent="0.15">
      <c r="E179" s="33"/>
      <c r="F179" s="33"/>
      <c r="G179" s="33"/>
    </row>
    <row r="180" spans="5:7" ht="13" x14ac:dyDescent="0.15">
      <c r="E180" s="33"/>
      <c r="F180" s="33"/>
      <c r="G180" s="33"/>
    </row>
    <row r="181" spans="5:7" ht="13" x14ac:dyDescent="0.15">
      <c r="E181" s="33"/>
      <c r="F181" s="33"/>
      <c r="G181" s="33"/>
    </row>
    <row r="182" spans="5:7" ht="13" x14ac:dyDescent="0.15">
      <c r="E182" s="33"/>
      <c r="F182" s="33"/>
      <c r="G182" s="33"/>
    </row>
    <row r="183" spans="5:7" ht="13" x14ac:dyDescent="0.15">
      <c r="E183" s="33"/>
      <c r="F183" s="33"/>
      <c r="G183" s="33"/>
    </row>
    <row r="184" spans="5:7" ht="13" x14ac:dyDescent="0.15">
      <c r="E184" s="33"/>
      <c r="F184" s="33"/>
      <c r="G184" s="33"/>
    </row>
    <row r="185" spans="5:7" ht="13" x14ac:dyDescent="0.15">
      <c r="E185" s="33"/>
      <c r="F185" s="33"/>
      <c r="G185" s="33"/>
    </row>
    <row r="186" spans="5:7" ht="13" x14ac:dyDescent="0.15">
      <c r="E186" s="33"/>
      <c r="F186" s="33"/>
      <c r="G186" s="33"/>
    </row>
    <row r="187" spans="5:7" ht="13" x14ac:dyDescent="0.15">
      <c r="E187" s="33"/>
      <c r="F187" s="33"/>
      <c r="G187" s="33"/>
    </row>
    <row r="188" spans="5:7" ht="13" x14ac:dyDescent="0.15">
      <c r="E188" s="33"/>
      <c r="F188" s="33"/>
      <c r="G188" s="33"/>
    </row>
    <row r="189" spans="5:7" ht="13" x14ac:dyDescent="0.15">
      <c r="E189" s="33"/>
      <c r="F189" s="33"/>
      <c r="G189" s="33"/>
    </row>
    <row r="190" spans="5:7" ht="13" x14ac:dyDescent="0.15">
      <c r="E190" s="33"/>
      <c r="F190" s="33"/>
      <c r="G190" s="33"/>
    </row>
    <row r="191" spans="5:7" ht="13" x14ac:dyDescent="0.15">
      <c r="E191" s="33"/>
      <c r="F191" s="33"/>
      <c r="G191" s="33"/>
    </row>
    <row r="192" spans="5:7" ht="13" x14ac:dyDescent="0.15">
      <c r="E192" s="33"/>
      <c r="F192" s="33"/>
      <c r="G192" s="33"/>
    </row>
    <row r="193" spans="5:7" ht="13" x14ac:dyDescent="0.15">
      <c r="E193" s="33"/>
      <c r="F193" s="33"/>
      <c r="G193" s="33"/>
    </row>
    <row r="194" spans="5:7" ht="13" x14ac:dyDescent="0.15">
      <c r="E194" s="33"/>
      <c r="F194" s="33"/>
      <c r="G194" s="33"/>
    </row>
    <row r="195" spans="5:7" ht="13" x14ac:dyDescent="0.15">
      <c r="E195" s="33"/>
      <c r="F195" s="33"/>
      <c r="G195" s="33"/>
    </row>
    <row r="196" spans="5:7" ht="13" x14ac:dyDescent="0.15">
      <c r="E196" s="33"/>
      <c r="F196" s="33"/>
      <c r="G196" s="33"/>
    </row>
    <row r="197" spans="5:7" ht="13" x14ac:dyDescent="0.15">
      <c r="E197" s="33"/>
      <c r="F197" s="33"/>
      <c r="G197" s="33"/>
    </row>
    <row r="198" spans="5:7" ht="13" x14ac:dyDescent="0.15">
      <c r="E198" s="33"/>
      <c r="F198" s="33"/>
      <c r="G198" s="33"/>
    </row>
    <row r="199" spans="5:7" ht="13" x14ac:dyDescent="0.15">
      <c r="E199" s="33"/>
      <c r="F199" s="33"/>
      <c r="G199" s="33"/>
    </row>
    <row r="200" spans="5:7" ht="13" x14ac:dyDescent="0.15">
      <c r="E200" s="33"/>
      <c r="F200" s="33"/>
      <c r="G200" s="33"/>
    </row>
    <row r="201" spans="5:7" ht="13" x14ac:dyDescent="0.15">
      <c r="E201" s="33"/>
      <c r="F201" s="33"/>
      <c r="G201" s="33"/>
    </row>
    <row r="202" spans="5:7" ht="13" x14ac:dyDescent="0.15">
      <c r="E202" s="33"/>
      <c r="F202" s="33"/>
      <c r="G202" s="33"/>
    </row>
    <row r="203" spans="5:7" ht="13" x14ac:dyDescent="0.15">
      <c r="E203" s="33"/>
      <c r="F203" s="33"/>
      <c r="G203" s="33"/>
    </row>
    <row r="204" spans="5:7" ht="13" x14ac:dyDescent="0.15">
      <c r="E204" s="33"/>
      <c r="F204" s="33"/>
      <c r="G204" s="33"/>
    </row>
    <row r="205" spans="5:7" ht="13" x14ac:dyDescent="0.15">
      <c r="E205" s="33"/>
      <c r="F205" s="33"/>
      <c r="G205" s="33"/>
    </row>
    <row r="206" spans="5:7" ht="13" x14ac:dyDescent="0.15">
      <c r="E206" s="33"/>
      <c r="F206" s="33"/>
      <c r="G206" s="33"/>
    </row>
    <row r="207" spans="5:7" ht="13" x14ac:dyDescent="0.15">
      <c r="E207" s="33"/>
      <c r="F207" s="33"/>
      <c r="G207" s="33"/>
    </row>
    <row r="208" spans="5:7" ht="13" x14ac:dyDescent="0.15">
      <c r="E208" s="33"/>
      <c r="F208" s="33"/>
      <c r="G208" s="33"/>
    </row>
    <row r="209" spans="5:7" ht="13" x14ac:dyDescent="0.15">
      <c r="E209" s="33"/>
      <c r="F209" s="33"/>
      <c r="G209" s="33"/>
    </row>
    <row r="210" spans="5:7" ht="13" x14ac:dyDescent="0.15">
      <c r="E210" s="33"/>
      <c r="F210" s="33"/>
      <c r="G210" s="33"/>
    </row>
    <row r="211" spans="5:7" ht="13" x14ac:dyDescent="0.15">
      <c r="E211" s="33"/>
      <c r="F211" s="33"/>
      <c r="G211" s="33"/>
    </row>
    <row r="212" spans="5:7" ht="13" x14ac:dyDescent="0.15">
      <c r="E212" s="33"/>
      <c r="F212" s="33"/>
      <c r="G212" s="33"/>
    </row>
    <row r="213" spans="5:7" ht="13" x14ac:dyDescent="0.15">
      <c r="E213" s="33"/>
      <c r="F213" s="33"/>
      <c r="G213" s="33"/>
    </row>
    <row r="214" spans="5:7" ht="13" x14ac:dyDescent="0.15">
      <c r="E214" s="33"/>
      <c r="F214" s="33"/>
      <c r="G214" s="33"/>
    </row>
    <row r="215" spans="5:7" ht="13" x14ac:dyDescent="0.15">
      <c r="E215" s="33"/>
      <c r="F215" s="33"/>
      <c r="G215" s="33"/>
    </row>
    <row r="216" spans="5:7" ht="13" x14ac:dyDescent="0.15">
      <c r="E216" s="33"/>
      <c r="F216" s="33"/>
      <c r="G216" s="33"/>
    </row>
    <row r="217" spans="5:7" ht="13" x14ac:dyDescent="0.15">
      <c r="E217" s="33"/>
      <c r="F217" s="33"/>
      <c r="G217" s="33"/>
    </row>
    <row r="218" spans="5:7" ht="13" x14ac:dyDescent="0.15">
      <c r="E218" s="33"/>
      <c r="F218" s="33"/>
      <c r="G218" s="33"/>
    </row>
    <row r="219" spans="5:7" ht="13" x14ac:dyDescent="0.15">
      <c r="E219" s="33"/>
      <c r="F219" s="33"/>
      <c r="G219" s="33"/>
    </row>
    <row r="220" spans="5:7" ht="13" x14ac:dyDescent="0.15">
      <c r="E220" s="33"/>
      <c r="F220" s="33"/>
      <c r="G220" s="33"/>
    </row>
    <row r="221" spans="5:7" ht="13" x14ac:dyDescent="0.15">
      <c r="E221" s="33"/>
      <c r="F221" s="33"/>
      <c r="G221" s="33"/>
    </row>
    <row r="222" spans="5:7" ht="13" x14ac:dyDescent="0.15">
      <c r="E222" s="33"/>
      <c r="F222" s="33"/>
      <c r="G222" s="33"/>
    </row>
    <row r="223" spans="5:7" ht="13" x14ac:dyDescent="0.15">
      <c r="E223" s="33"/>
      <c r="F223" s="33"/>
      <c r="G223" s="33"/>
    </row>
    <row r="224" spans="5:7" ht="13" x14ac:dyDescent="0.15">
      <c r="E224" s="33"/>
      <c r="F224" s="33"/>
      <c r="G224" s="33"/>
    </row>
    <row r="225" spans="5:7" ht="13" x14ac:dyDescent="0.15">
      <c r="E225" s="33"/>
      <c r="F225" s="33"/>
      <c r="G225" s="33"/>
    </row>
    <row r="226" spans="5:7" ht="13" x14ac:dyDescent="0.15">
      <c r="E226" s="33"/>
      <c r="F226" s="33"/>
      <c r="G226" s="33"/>
    </row>
    <row r="227" spans="5:7" ht="13" x14ac:dyDescent="0.15">
      <c r="E227" s="33"/>
      <c r="F227" s="33"/>
      <c r="G227" s="33"/>
    </row>
    <row r="228" spans="5:7" ht="13" x14ac:dyDescent="0.15">
      <c r="E228" s="33"/>
      <c r="F228" s="33"/>
      <c r="G228" s="33"/>
    </row>
    <row r="229" spans="5:7" ht="13" x14ac:dyDescent="0.15">
      <c r="E229" s="33"/>
      <c r="F229" s="33"/>
      <c r="G229" s="33"/>
    </row>
    <row r="230" spans="5:7" ht="13" x14ac:dyDescent="0.15">
      <c r="E230" s="33"/>
      <c r="F230" s="33"/>
      <c r="G230" s="33"/>
    </row>
    <row r="231" spans="5:7" ht="13" x14ac:dyDescent="0.15">
      <c r="E231" s="33"/>
      <c r="F231" s="33"/>
      <c r="G231" s="33"/>
    </row>
    <row r="232" spans="5:7" ht="13" x14ac:dyDescent="0.15">
      <c r="E232" s="33"/>
      <c r="F232" s="33"/>
      <c r="G232" s="33"/>
    </row>
    <row r="233" spans="5:7" ht="13" x14ac:dyDescent="0.15">
      <c r="E233" s="33"/>
      <c r="F233" s="33"/>
      <c r="G233" s="33"/>
    </row>
    <row r="234" spans="5:7" ht="13" x14ac:dyDescent="0.15">
      <c r="E234" s="33"/>
      <c r="F234" s="33"/>
      <c r="G234" s="33"/>
    </row>
    <row r="235" spans="5:7" ht="13" x14ac:dyDescent="0.15">
      <c r="E235" s="33"/>
      <c r="F235" s="33"/>
      <c r="G235" s="33"/>
    </row>
    <row r="236" spans="5:7" ht="13" x14ac:dyDescent="0.15">
      <c r="E236" s="33"/>
      <c r="F236" s="33"/>
      <c r="G236" s="33"/>
    </row>
    <row r="237" spans="5:7" ht="13" x14ac:dyDescent="0.15">
      <c r="E237" s="33"/>
      <c r="F237" s="33"/>
      <c r="G237" s="33"/>
    </row>
    <row r="238" spans="5:7" ht="13" x14ac:dyDescent="0.15">
      <c r="E238" s="33"/>
      <c r="F238" s="33"/>
      <c r="G238" s="33"/>
    </row>
    <row r="239" spans="5:7" ht="13" x14ac:dyDescent="0.15">
      <c r="E239" s="33"/>
      <c r="F239" s="33"/>
      <c r="G239" s="33"/>
    </row>
    <row r="240" spans="5:7" ht="13" x14ac:dyDescent="0.15">
      <c r="E240" s="33"/>
      <c r="F240" s="33"/>
      <c r="G240" s="33"/>
    </row>
    <row r="241" spans="5:7" ht="13" x14ac:dyDescent="0.15">
      <c r="E241" s="33"/>
      <c r="F241" s="33"/>
      <c r="G241" s="33"/>
    </row>
    <row r="242" spans="5:7" ht="13" x14ac:dyDescent="0.15">
      <c r="E242" s="33"/>
      <c r="F242" s="33"/>
      <c r="G242" s="33"/>
    </row>
    <row r="243" spans="5:7" ht="13" x14ac:dyDescent="0.15">
      <c r="E243" s="33"/>
      <c r="F243" s="33"/>
      <c r="G243" s="33"/>
    </row>
    <row r="244" spans="5:7" ht="13" x14ac:dyDescent="0.15">
      <c r="E244" s="33"/>
      <c r="F244" s="33"/>
      <c r="G244" s="33"/>
    </row>
    <row r="245" spans="5:7" ht="13" x14ac:dyDescent="0.15">
      <c r="E245" s="33"/>
      <c r="F245" s="33"/>
      <c r="G245" s="33"/>
    </row>
    <row r="246" spans="5:7" ht="13" x14ac:dyDescent="0.15">
      <c r="E246" s="33"/>
      <c r="F246" s="33"/>
      <c r="G246" s="33"/>
    </row>
    <row r="247" spans="5:7" ht="13" x14ac:dyDescent="0.15">
      <c r="E247" s="33"/>
      <c r="F247" s="33"/>
      <c r="G247" s="33"/>
    </row>
    <row r="248" spans="5:7" ht="13" x14ac:dyDescent="0.15">
      <c r="E248" s="33"/>
      <c r="F248" s="33"/>
      <c r="G248" s="33"/>
    </row>
    <row r="249" spans="5:7" ht="13" x14ac:dyDescent="0.15">
      <c r="E249" s="33"/>
      <c r="F249" s="33"/>
      <c r="G249" s="33"/>
    </row>
    <row r="250" spans="5:7" ht="13" x14ac:dyDescent="0.15">
      <c r="E250" s="33"/>
      <c r="F250" s="33"/>
      <c r="G250" s="33"/>
    </row>
    <row r="251" spans="5:7" ht="13" x14ac:dyDescent="0.15">
      <c r="E251" s="33"/>
      <c r="F251" s="33"/>
      <c r="G251" s="33"/>
    </row>
    <row r="252" spans="5:7" ht="13" x14ac:dyDescent="0.15">
      <c r="E252" s="33"/>
      <c r="F252" s="33"/>
      <c r="G252" s="33"/>
    </row>
    <row r="253" spans="5:7" ht="13" x14ac:dyDescent="0.15">
      <c r="E253" s="33"/>
      <c r="F253" s="33"/>
      <c r="G253" s="33"/>
    </row>
    <row r="254" spans="5:7" ht="13" x14ac:dyDescent="0.15">
      <c r="E254" s="33"/>
      <c r="F254" s="33"/>
      <c r="G254" s="33"/>
    </row>
    <row r="255" spans="5:7" ht="13" x14ac:dyDescent="0.15">
      <c r="E255" s="33"/>
      <c r="F255" s="33"/>
      <c r="G255" s="33"/>
    </row>
    <row r="256" spans="5:7" ht="13" x14ac:dyDescent="0.15">
      <c r="E256" s="33"/>
      <c r="F256" s="33"/>
      <c r="G256" s="33"/>
    </row>
    <row r="257" spans="5:7" ht="13" x14ac:dyDescent="0.15">
      <c r="E257" s="33"/>
      <c r="F257" s="33"/>
      <c r="G257" s="33"/>
    </row>
    <row r="258" spans="5:7" ht="13" x14ac:dyDescent="0.15">
      <c r="E258" s="33"/>
      <c r="F258" s="33"/>
      <c r="G258" s="33"/>
    </row>
    <row r="259" spans="5:7" ht="13" x14ac:dyDescent="0.15">
      <c r="E259" s="33"/>
      <c r="F259" s="33"/>
      <c r="G259" s="33"/>
    </row>
    <row r="260" spans="5:7" ht="13" x14ac:dyDescent="0.15">
      <c r="E260" s="33"/>
      <c r="F260" s="33"/>
      <c r="G260" s="33"/>
    </row>
    <row r="261" spans="5:7" ht="13" x14ac:dyDescent="0.15">
      <c r="E261" s="33"/>
      <c r="F261" s="33"/>
      <c r="G261" s="33"/>
    </row>
    <row r="262" spans="5:7" ht="13" x14ac:dyDescent="0.15">
      <c r="E262" s="33"/>
      <c r="F262" s="33"/>
      <c r="G262" s="33"/>
    </row>
    <row r="263" spans="5:7" ht="13" x14ac:dyDescent="0.15">
      <c r="E263" s="33"/>
      <c r="F263" s="33"/>
      <c r="G263" s="33"/>
    </row>
    <row r="264" spans="5:7" ht="13" x14ac:dyDescent="0.15">
      <c r="E264" s="33"/>
      <c r="F264" s="33"/>
      <c r="G264" s="33"/>
    </row>
    <row r="265" spans="5:7" ht="13" x14ac:dyDescent="0.15">
      <c r="E265" s="33"/>
      <c r="F265" s="33"/>
      <c r="G265" s="33"/>
    </row>
    <row r="266" spans="5:7" ht="13" x14ac:dyDescent="0.15">
      <c r="E266" s="33"/>
      <c r="F266" s="33"/>
      <c r="G266" s="33"/>
    </row>
    <row r="267" spans="5:7" ht="13" x14ac:dyDescent="0.15">
      <c r="E267" s="33"/>
      <c r="F267" s="33"/>
      <c r="G267" s="33"/>
    </row>
    <row r="268" spans="5:7" ht="13" x14ac:dyDescent="0.15">
      <c r="E268" s="33"/>
      <c r="F268" s="33"/>
      <c r="G268" s="33"/>
    </row>
    <row r="269" spans="5:7" ht="13" x14ac:dyDescent="0.15">
      <c r="E269" s="33"/>
      <c r="F269" s="33"/>
      <c r="G269" s="33"/>
    </row>
    <row r="270" spans="5:7" ht="13" x14ac:dyDescent="0.15">
      <c r="E270" s="33"/>
      <c r="F270" s="33"/>
      <c r="G270" s="33"/>
    </row>
    <row r="271" spans="5:7" ht="13" x14ac:dyDescent="0.15">
      <c r="E271" s="33"/>
      <c r="F271" s="33"/>
      <c r="G271" s="33"/>
    </row>
    <row r="272" spans="5:7" ht="13" x14ac:dyDescent="0.15">
      <c r="E272" s="33"/>
      <c r="F272" s="33"/>
      <c r="G272" s="33"/>
    </row>
    <row r="273" spans="5:7" ht="13" x14ac:dyDescent="0.15">
      <c r="E273" s="33"/>
      <c r="F273" s="33"/>
      <c r="G273" s="33"/>
    </row>
    <row r="274" spans="5:7" ht="13" x14ac:dyDescent="0.15">
      <c r="E274" s="33"/>
      <c r="F274" s="33"/>
      <c r="G274" s="33"/>
    </row>
    <row r="275" spans="5:7" ht="13" x14ac:dyDescent="0.15">
      <c r="E275" s="33"/>
      <c r="F275" s="33"/>
      <c r="G275" s="33"/>
    </row>
    <row r="276" spans="5:7" ht="13" x14ac:dyDescent="0.15">
      <c r="E276" s="33"/>
      <c r="F276" s="33"/>
      <c r="G276" s="33"/>
    </row>
    <row r="277" spans="5:7" ht="13" x14ac:dyDescent="0.15">
      <c r="E277" s="33"/>
      <c r="F277" s="33"/>
      <c r="G277" s="33"/>
    </row>
    <row r="278" spans="5:7" ht="13" x14ac:dyDescent="0.15">
      <c r="E278" s="33"/>
      <c r="F278" s="33"/>
      <c r="G278" s="33"/>
    </row>
    <row r="279" spans="5:7" ht="13" x14ac:dyDescent="0.15">
      <c r="E279" s="33"/>
      <c r="F279" s="33"/>
      <c r="G279" s="33"/>
    </row>
    <row r="280" spans="5:7" ht="13" x14ac:dyDescent="0.15">
      <c r="E280" s="33"/>
      <c r="F280" s="33"/>
      <c r="G280" s="33"/>
    </row>
    <row r="281" spans="5:7" ht="13" x14ac:dyDescent="0.15">
      <c r="E281" s="33"/>
      <c r="F281" s="33"/>
      <c r="G281" s="33"/>
    </row>
    <row r="282" spans="5:7" ht="13" x14ac:dyDescent="0.15">
      <c r="E282" s="33"/>
      <c r="F282" s="33"/>
      <c r="G282" s="33"/>
    </row>
    <row r="283" spans="5:7" ht="13" x14ac:dyDescent="0.15">
      <c r="E283" s="33"/>
      <c r="F283" s="33"/>
      <c r="G283" s="33"/>
    </row>
    <row r="284" spans="5:7" ht="13" x14ac:dyDescent="0.15">
      <c r="E284" s="33"/>
      <c r="F284" s="33"/>
      <c r="G284" s="33"/>
    </row>
    <row r="285" spans="5:7" ht="13" x14ac:dyDescent="0.15">
      <c r="E285" s="33"/>
      <c r="F285" s="33"/>
      <c r="G285" s="33"/>
    </row>
    <row r="286" spans="5:7" ht="13" x14ac:dyDescent="0.15">
      <c r="E286" s="33"/>
      <c r="F286" s="33"/>
      <c r="G286" s="33"/>
    </row>
    <row r="287" spans="5:7" ht="13" x14ac:dyDescent="0.15">
      <c r="E287" s="33"/>
      <c r="F287" s="33"/>
      <c r="G287" s="33"/>
    </row>
    <row r="288" spans="5:7" ht="13" x14ac:dyDescent="0.15">
      <c r="E288" s="33"/>
      <c r="F288" s="33"/>
      <c r="G288" s="33"/>
    </row>
    <row r="289" spans="5:7" ht="13" x14ac:dyDescent="0.15">
      <c r="E289" s="33"/>
      <c r="F289" s="33"/>
      <c r="G289" s="33"/>
    </row>
    <row r="290" spans="5:7" ht="13" x14ac:dyDescent="0.15">
      <c r="E290" s="33"/>
      <c r="F290" s="33"/>
      <c r="G290" s="33"/>
    </row>
    <row r="291" spans="5:7" ht="13" x14ac:dyDescent="0.15">
      <c r="E291" s="33"/>
      <c r="F291" s="33"/>
      <c r="G291" s="33"/>
    </row>
    <row r="292" spans="5:7" ht="13" x14ac:dyDescent="0.15">
      <c r="E292" s="33"/>
      <c r="F292" s="33"/>
      <c r="G292" s="33"/>
    </row>
    <row r="293" spans="5:7" ht="13" x14ac:dyDescent="0.15">
      <c r="E293" s="33"/>
      <c r="F293" s="33"/>
      <c r="G293" s="33"/>
    </row>
    <row r="294" spans="5:7" ht="13" x14ac:dyDescent="0.15">
      <c r="E294" s="33"/>
      <c r="F294" s="33"/>
      <c r="G294" s="33"/>
    </row>
    <row r="295" spans="5:7" ht="13" x14ac:dyDescent="0.15">
      <c r="E295" s="33"/>
      <c r="F295" s="33"/>
      <c r="G295" s="33"/>
    </row>
    <row r="296" spans="5:7" ht="13" x14ac:dyDescent="0.15">
      <c r="E296" s="33"/>
      <c r="F296" s="33"/>
      <c r="G296" s="33"/>
    </row>
    <row r="297" spans="5:7" ht="13" x14ac:dyDescent="0.15">
      <c r="E297" s="33"/>
      <c r="F297" s="33"/>
      <c r="G297" s="33"/>
    </row>
    <row r="298" spans="5:7" ht="13" x14ac:dyDescent="0.15">
      <c r="E298" s="33"/>
      <c r="F298" s="33"/>
      <c r="G298" s="33"/>
    </row>
    <row r="299" spans="5:7" ht="13" x14ac:dyDescent="0.15">
      <c r="E299" s="33"/>
      <c r="F299" s="33"/>
      <c r="G299" s="33"/>
    </row>
    <row r="300" spans="5:7" ht="13" x14ac:dyDescent="0.15">
      <c r="E300" s="33"/>
      <c r="F300" s="33"/>
      <c r="G300" s="33"/>
    </row>
    <row r="301" spans="5:7" ht="13" x14ac:dyDescent="0.15">
      <c r="E301" s="33"/>
      <c r="F301" s="33"/>
      <c r="G301" s="33"/>
    </row>
    <row r="302" spans="5:7" ht="13" x14ac:dyDescent="0.15">
      <c r="E302" s="33"/>
      <c r="F302" s="33"/>
      <c r="G302" s="33"/>
    </row>
    <row r="303" spans="5:7" ht="13" x14ac:dyDescent="0.15">
      <c r="E303" s="33"/>
      <c r="F303" s="33"/>
      <c r="G303" s="33"/>
    </row>
    <row r="304" spans="5:7" ht="13" x14ac:dyDescent="0.15">
      <c r="E304" s="33"/>
      <c r="F304" s="33"/>
      <c r="G304" s="33"/>
    </row>
    <row r="305" spans="5:7" ht="13" x14ac:dyDescent="0.15">
      <c r="E305" s="33"/>
      <c r="F305" s="33"/>
      <c r="G305" s="33"/>
    </row>
    <row r="306" spans="5:7" ht="13" x14ac:dyDescent="0.15">
      <c r="E306" s="33"/>
      <c r="F306" s="33"/>
      <c r="G306" s="33"/>
    </row>
    <row r="307" spans="5:7" ht="13" x14ac:dyDescent="0.15">
      <c r="E307" s="33"/>
      <c r="F307" s="33"/>
      <c r="G307" s="33"/>
    </row>
    <row r="308" spans="5:7" ht="13" x14ac:dyDescent="0.15">
      <c r="E308" s="33"/>
      <c r="F308" s="33"/>
      <c r="G308" s="33"/>
    </row>
    <row r="309" spans="5:7" ht="13" x14ac:dyDescent="0.15">
      <c r="E309" s="33"/>
      <c r="F309" s="33"/>
      <c r="G309" s="33"/>
    </row>
    <row r="310" spans="5:7" ht="13" x14ac:dyDescent="0.15">
      <c r="E310" s="33"/>
      <c r="F310" s="33"/>
      <c r="G310" s="33"/>
    </row>
    <row r="311" spans="5:7" ht="13" x14ac:dyDescent="0.15">
      <c r="E311" s="33"/>
      <c r="F311" s="33"/>
      <c r="G311" s="33"/>
    </row>
    <row r="312" spans="5:7" ht="13" x14ac:dyDescent="0.15">
      <c r="E312" s="33"/>
      <c r="F312" s="33"/>
      <c r="G312" s="33"/>
    </row>
    <row r="313" spans="5:7" ht="13" x14ac:dyDescent="0.15">
      <c r="E313" s="33"/>
      <c r="F313" s="33"/>
      <c r="G313" s="33"/>
    </row>
    <row r="314" spans="5:7" ht="13" x14ac:dyDescent="0.15">
      <c r="E314" s="33"/>
      <c r="F314" s="33"/>
      <c r="G314" s="33"/>
    </row>
    <row r="315" spans="5:7" ht="13" x14ac:dyDescent="0.15">
      <c r="E315" s="33"/>
      <c r="F315" s="33"/>
      <c r="G315" s="33"/>
    </row>
    <row r="316" spans="5:7" ht="13" x14ac:dyDescent="0.15">
      <c r="E316" s="33"/>
      <c r="F316" s="33"/>
      <c r="G316" s="33"/>
    </row>
    <row r="317" spans="5:7" ht="13" x14ac:dyDescent="0.15">
      <c r="E317" s="33"/>
      <c r="F317" s="33"/>
      <c r="G317" s="33"/>
    </row>
    <row r="318" spans="5:7" ht="13" x14ac:dyDescent="0.15">
      <c r="E318" s="33"/>
      <c r="F318" s="33"/>
      <c r="G318" s="33"/>
    </row>
    <row r="319" spans="5:7" ht="13" x14ac:dyDescent="0.15">
      <c r="E319" s="33"/>
      <c r="F319" s="33"/>
      <c r="G319" s="33"/>
    </row>
    <row r="320" spans="5:7" ht="13" x14ac:dyDescent="0.15">
      <c r="E320" s="33"/>
      <c r="F320" s="33"/>
      <c r="G320" s="33"/>
    </row>
    <row r="321" spans="5:7" ht="13" x14ac:dyDescent="0.15">
      <c r="E321" s="33"/>
      <c r="F321" s="33"/>
      <c r="G321" s="33"/>
    </row>
    <row r="322" spans="5:7" ht="13" x14ac:dyDescent="0.15">
      <c r="E322" s="33"/>
      <c r="F322" s="33"/>
      <c r="G322" s="33"/>
    </row>
    <row r="323" spans="5:7" ht="13" x14ac:dyDescent="0.15">
      <c r="E323" s="33"/>
      <c r="F323" s="33"/>
      <c r="G323" s="33"/>
    </row>
    <row r="324" spans="5:7" ht="13" x14ac:dyDescent="0.15">
      <c r="E324" s="33"/>
      <c r="F324" s="33"/>
      <c r="G324" s="33"/>
    </row>
    <row r="325" spans="5:7" ht="13" x14ac:dyDescent="0.15">
      <c r="E325" s="33"/>
      <c r="F325" s="33"/>
      <c r="G325" s="33"/>
    </row>
    <row r="326" spans="5:7" ht="13" x14ac:dyDescent="0.15">
      <c r="E326" s="33"/>
      <c r="F326" s="33"/>
      <c r="G326" s="33"/>
    </row>
    <row r="327" spans="5:7" ht="13" x14ac:dyDescent="0.15">
      <c r="E327" s="33"/>
      <c r="F327" s="33"/>
      <c r="G327" s="33"/>
    </row>
    <row r="328" spans="5:7" ht="13" x14ac:dyDescent="0.15">
      <c r="E328" s="33"/>
      <c r="F328" s="33"/>
      <c r="G328" s="33"/>
    </row>
    <row r="329" spans="5:7" ht="13" x14ac:dyDescent="0.15">
      <c r="E329" s="33"/>
      <c r="F329" s="33"/>
      <c r="G329" s="33"/>
    </row>
    <row r="330" spans="5:7" ht="13" x14ac:dyDescent="0.15">
      <c r="E330" s="33"/>
      <c r="F330" s="33"/>
      <c r="G330" s="33"/>
    </row>
    <row r="331" spans="5:7" ht="13" x14ac:dyDescent="0.15">
      <c r="E331" s="33"/>
      <c r="F331" s="33"/>
      <c r="G331" s="33"/>
    </row>
    <row r="332" spans="5:7" ht="13" x14ac:dyDescent="0.15">
      <c r="E332" s="33"/>
      <c r="F332" s="33"/>
      <c r="G332" s="33"/>
    </row>
    <row r="333" spans="5:7" ht="13" x14ac:dyDescent="0.15">
      <c r="E333" s="33"/>
      <c r="F333" s="33"/>
      <c r="G333" s="33"/>
    </row>
    <row r="334" spans="5:7" ht="13" x14ac:dyDescent="0.15">
      <c r="E334" s="33"/>
      <c r="F334" s="33"/>
      <c r="G334" s="33"/>
    </row>
    <row r="335" spans="5:7" ht="13" x14ac:dyDescent="0.15">
      <c r="E335" s="33"/>
      <c r="F335" s="33"/>
      <c r="G335" s="33"/>
    </row>
    <row r="336" spans="5:7" ht="13" x14ac:dyDescent="0.15">
      <c r="E336" s="33"/>
      <c r="F336" s="33"/>
      <c r="G336" s="33"/>
    </row>
    <row r="337" spans="5:7" ht="13" x14ac:dyDescent="0.15">
      <c r="E337" s="33"/>
      <c r="F337" s="33"/>
      <c r="G337" s="33"/>
    </row>
    <row r="338" spans="5:7" ht="13" x14ac:dyDescent="0.15">
      <c r="E338" s="33"/>
      <c r="F338" s="33"/>
      <c r="G338" s="33"/>
    </row>
    <row r="339" spans="5:7" ht="13" x14ac:dyDescent="0.15">
      <c r="E339" s="33"/>
      <c r="F339" s="33"/>
      <c r="G339" s="33"/>
    </row>
    <row r="340" spans="5:7" ht="13" x14ac:dyDescent="0.15">
      <c r="E340" s="33"/>
      <c r="F340" s="33"/>
      <c r="G340" s="33"/>
    </row>
    <row r="341" spans="5:7" ht="13" x14ac:dyDescent="0.15">
      <c r="E341" s="33"/>
      <c r="F341" s="33"/>
      <c r="G341" s="33"/>
    </row>
    <row r="342" spans="5:7" ht="13" x14ac:dyDescent="0.15">
      <c r="E342" s="33"/>
      <c r="F342" s="33"/>
      <c r="G342" s="33"/>
    </row>
    <row r="343" spans="5:7" ht="13" x14ac:dyDescent="0.15">
      <c r="E343" s="33"/>
      <c r="F343" s="33"/>
      <c r="G343" s="33"/>
    </row>
    <row r="344" spans="5:7" ht="13" x14ac:dyDescent="0.15">
      <c r="E344" s="33"/>
      <c r="F344" s="33"/>
      <c r="G344" s="33"/>
    </row>
    <row r="345" spans="5:7" ht="13" x14ac:dyDescent="0.15">
      <c r="E345" s="33"/>
      <c r="F345" s="33"/>
      <c r="G345" s="33"/>
    </row>
    <row r="346" spans="5:7" ht="13" x14ac:dyDescent="0.15">
      <c r="E346" s="33"/>
      <c r="F346" s="33"/>
      <c r="G346" s="33"/>
    </row>
    <row r="347" spans="5:7" ht="13" x14ac:dyDescent="0.15">
      <c r="E347" s="33"/>
      <c r="F347" s="33"/>
      <c r="G347" s="33"/>
    </row>
    <row r="348" spans="5:7" ht="13" x14ac:dyDescent="0.15">
      <c r="E348" s="33"/>
      <c r="F348" s="33"/>
      <c r="G348" s="33"/>
    </row>
    <row r="349" spans="5:7" ht="13" x14ac:dyDescent="0.15">
      <c r="E349" s="33"/>
      <c r="F349" s="33"/>
      <c r="G349" s="33"/>
    </row>
    <row r="350" spans="5:7" ht="13" x14ac:dyDescent="0.15">
      <c r="E350" s="33"/>
      <c r="F350" s="33"/>
      <c r="G350" s="33"/>
    </row>
    <row r="351" spans="5:7" ht="13" x14ac:dyDescent="0.15">
      <c r="E351" s="33"/>
      <c r="F351" s="33"/>
      <c r="G351" s="33"/>
    </row>
    <row r="352" spans="5:7" ht="13" x14ac:dyDescent="0.15">
      <c r="E352" s="33"/>
      <c r="F352" s="33"/>
      <c r="G352" s="33"/>
    </row>
    <row r="353" spans="5:7" ht="13" x14ac:dyDescent="0.15">
      <c r="E353" s="33"/>
      <c r="F353" s="33"/>
      <c r="G353" s="33"/>
    </row>
    <row r="354" spans="5:7" ht="13" x14ac:dyDescent="0.15">
      <c r="E354" s="33"/>
      <c r="F354" s="33"/>
      <c r="G354" s="33"/>
    </row>
    <row r="355" spans="5:7" ht="13" x14ac:dyDescent="0.15">
      <c r="E355" s="33"/>
      <c r="F355" s="33"/>
      <c r="G355" s="33"/>
    </row>
    <row r="356" spans="5:7" ht="13" x14ac:dyDescent="0.15">
      <c r="E356" s="33"/>
      <c r="F356" s="33"/>
      <c r="G356" s="33"/>
    </row>
    <row r="357" spans="5:7" ht="13" x14ac:dyDescent="0.15">
      <c r="E357" s="33"/>
      <c r="F357" s="33"/>
      <c r="G357" s="33"/>
    </row>
    <row r="358" spans="5:7" ht="13" x14ac:dyDescent="0.15">
      <c r="E358" s="33"/>
      <c r="F358" s="33"/>
      <c r="G358" s="33"/>
    </row>
    <row r="359" spans="5:7" ht="13" x14ac:dyDescent="0.15">
      <c r="E359" s="33"/>
      <c r="F359" s="33"/>
      <c r="G359" s="33"/>
    </row>
    <row r="360" spans="5:7" ht="13" x14ac:dyDescent="0.15">
      <c r="E360" s="33"/>
      <c r="F360" s="33"/>
      <c r="G360" s="33"/>
    </row>
    <row r="361" spans="5:7" ht="13" x14ac:dyDescent="0.15">
      <c r="E361" s="33"/>
      <c r="F361" s="33"/>
      <c r="G361" s="33"/>
    </row>
    <row r="362" spans="5:7" ht="13" x14ac:dyDescent="0.15">
      <c r="E362" s="33"/>
      <c r="F362" s="33"/>
      <c r="G362" s="33"/>
    </row>
    <row r="363" spans="5:7" ht="13" x14ac:dyDescent="0.15">
      <c r="E363" s="33"/>
      <c r="F363" s="33"/>
      <c r="G363" s="33"/>
    </row>
    <row r="364" spans="5:7" ht="13" x14ac:dyDescent="0.15">
      <c r="E364" s="33"/>
      <c r="F364" s="33"/>
      <c r="G364" s="33"/>
    </row>
    <row r="365" spans="5:7" ht="13" x14ac:dyDescent="0.15">
      <c r="E365" s="33"/>
      <c r="F365" s="33"/>
      <c r="G365" s="33"/>
    </row>
    <row r="366" spans="5:7" ht="13" x14ac:dyDescent="0.15">
      <c r="E366" s="33"/>
      <c r="F366" s="33"/>
      <c r="G366" s="33"/>
    </row>
    <row r="367" spans="5:7" ht="13" x14ac:dyDescent="0.15">
      <c r="E367" s="33"/>
      <c r="F367" s="33"/>
      <c r="G367" s="33"/>
    </row>
    <row r="368" spans="5:7" ht="13" x14ac:dyDescent="0.15">
      <c r="E368" s="33"/>
      <c r="F368" s="33"/>
      <c r="G368" s="33"/>
    </row>
    <row r="369" spans="5:7" ht="13" x14ac:dyDescent="0.15">
      <c r="E369" s="33"/>
      <c r="F369" s="33"/>
      <c r="G369" s="33"/>
    </row>
    <row r="370" spans="5:7" ht="13" x14ac:dyDescent="0.15">
      <c r="E370" s="33"/>
      <c r="F370" s="33"/>
      <c r="G370" s="33"/>
    </row>
    <row r="371" spans="5:7" ht="13" x14ac:dyDescent="0.15">
      <c r="E371" s="33"/>
      <c r="F371" s="33"/>
      <c r="G371" s="33"/>
    </row>
    <row r="372" spans="5:7" ht="13" x14ac:dyDescent="0.15">
      <c r="E372" s="33"/>
      <c r="F372" s="33"/>
      <c r="G372" s="33"/>
    </row>
    <row r="373" spans="5:7" ht="13" x14ac:dyDescent="0.15">
      <c r="E373" s="33"/>
      <c r="F373" s="33"/>
      <c r="G373" s="33"/>
    </row>
    <row r="374" spans="5:7" ht="13" x14ac:dyDescent="0.15">
      <c r="E374" s="33"/>
      <c r="F374" s="33"/>
      <c r="G374" s="33"/>
    </row>
    <row r="375" spans="5:7" ht="13" x14ac:dyDescent="0.15">
      <c r="E375" s="33"/>
      <c r="F375" s="33"/>
      <c r="G375" s="33"/>
    </row>
    <row r="376" spans="5:7" ht="13" x14ac:dyDescent="0.15">
      <c r="E376" s="33"/>
      <c r="F376" s="33"/>
      <c r="G376" s="33"/>
    </row>
    <row r="377" spans="5:7" ht="13" x14ac:dyDescent="0.15">
      <c r="E377" s="33"/>
      <c r="F377" s="33"/>
      <c r="G377" s="33"/>
    </row>
    <row r="378" spans="5:7" ht="13" x14ac:dyDescent="0.15">
      <c r="E378" s="33"/>
      <c r="F378" s="33"/>
      <c r="G378" s="33"/>
    </row>
    <row r="379" spans="5:7" ht="13" x14ac:dyDescent="0.15">
      <c r="E379" s="33"/>
      <c r="F379" s="33"/>
      <c r="G379" s="33"/>
    </row>
    <row r="380" spans="5:7" ht="13" x14ac:dyDescent="0.15">
      <c r="E380" s="33"/>
      <c r="F380" s="33"/>
      <c r="G380" s="33"/>
    </row>
    <row r="381" spans="5:7" ht="13" x14ac:dyDescent="0.15">
      <c r="E381" s="33"/>
      <c r="F381" s="33"/>
      <c r="G381" s="33"/>
    </row>
    <row r="382" spans="5:7" ht="13" x14ac:dyDescent="0.15">
      <c r="E382" s="33"/>
      <c r="F382" s="33"/>
      <c r="G382" s="33"/>
    </row>
    <row r="383" spans="5:7" ht="13" x14ac:dyDescent="0.15">
      <c r="E383" s="33"/>
      <c r="F383" s="33"/>
      <c r="G383" s="33"/>
    </row>
    <row r="384" spans="5:7" ht="13" x14ac:dyDescent="0.15">
      <c r="E384" s="33"/>
      <c r="F384" s="33"/>
      <c r="G384" s="33"/>
    </row>
    <row r="385" spans="5:7" ht="13" x14ac:dyDescent="0.15">
      <c r="E385" s="33"/>
      <c r="F385" s="33"/>
      <c r="G385" s="33"/>
    </row>
    <row r="386" spans="5:7" ht="13" x14ac:dyDescent="0.15">
      <c r="E386" s="33"/>
      <c r="F386" s="33"/>
      <c r="G386" s="33"/>
    </row>
    <row r="387" spans="5:7" ht="13" x14ac:dyDescent="0.15">
      <c r="E387" s="33"/>
      <c r="F387" s="33"/>
      <c r="G387" s="33"/>
    </row>
    <row r="388" spans="5:7" ht="13" x14ac:dyDescent="0.15">
      <c r="E388" s="33"/>
      <c r="F388" s="33"/>
      <c r="G388" s="33"/>
    </row>
    <row r="389" spans="5:7" ht="13" x14ac:dyDescent="0.15">
      <c r="E389" s="33"/>
      <c r="F389" s="33"/>
      <c r="G389" s="33"/>
    </row>
    <row r="390" spans="5:7" ht="13" x14ac:dyDescent="0.15">
      <c r="E390" s="33"/>
      <c r="F390" s="33"/>
      <c r="G390" s="33"/>
    </row>
    <row r="391" spans="5:7" ht="13" x14ac:dyDescent="0.15">
      <c r="E391" s="33"/>
      <c r="F391" s="33"/>
      <c r="G391" s="33"/>
    </row>
    <row r="392" spans="5:7" ht="13" x14ac:dyDescent="0.15">
      <c r="E392" s="33"/>
      <c r="F392" s="33"/>
      <c r="G392" s="33"/>
    </row>
    <row r="393" spans="5:7" ht="13" x14ac:dyDescent="0.15">
      <c r="E393" s="33"/>
      <c r="F393" s="33"/>
      <c r="G393" s="33"/>
    </row>
    <row r="394" spans="5:7" ht="13" x14ac:dyDescent="0.15">
      <c r="E394" s="33"/>
      <c r="F394" s="33"/>
      <c r="G394" s="33"/>
    </row>
    <row r="395" spans="5:7" ht="13" x14ac:dyDescent="0.15">
      <c r="E395" s="33"/>
      <c r="F395" s="33"/>
      <c r="G395" s="33"/>
    </row>
    <row r="396" spans="5:7" ht="13" x14ac:dyDescent="0.15">
      <c r="E396" s="33"/>
      <c r="F396" s="33"/>
      <c r="G396" s="33"/>
    </row>
    <row r="397" spans="5:7" ht="13" x14ac:dyDescent="0.15">
      <c r="E397" s="33"/>
      <c r="F397" s="33"/>
      <c r="G397" s="33"/>
    </row>
    <row r="398" spans="5:7" ht="13" x14ac:dyDescent="0.15">
      <c r="E398" s="33"/>
      <c r="F398" s="33"/>
      <c r="G398" s="33"/>
    </row>
    <row r="399" spans="5:7" ht="13" x14ac:dyDescent="0.15">
      <c r="E399" s="33"/>
      <c r="F399" s="33"/>
      <c r="G399" s="33"/>
    </row>
    <row r="400" spans="5:7" ht="13" x14ac:dyDescent="0.15">
      <c r="E400" s="33"/>
      <c r="F400" s="33"/>
      <c r="G400" s="33"/>
    </row>
    <row r="401" spans="5:7" ht="13" x14ac:dyDescent="0.15">
      <c r="E401" s="33"/>
      <c r="F401" s="33"/>
      <c r="G401" s="33"/>
    </row>
    <row r="402" spans="5:7" ht="13" x14ac:dyDescent="0.15">
      <c r="E402" s="33"/>
      <c r="F402" s="33"/>
      <c r="G402" s="33"/>
    </row>
    <row r="403" spans="5:7" ht="13" x14ac:dyDescent="0.15">
      <c r="E403" s="33"/>
      <c r="F403" s="33"/>
      <c r="G403" s="33"/>
    </row>
    <row r="404" spans="5:7" ht="13" x14ac:dyDescent="0.15">
      <c r="E404" s="33"/>
      <c r="F404" s="33"/>
      <c r="G404" s="33"/>
    </row>
    <row r="405" spans="5:7" ht="13" x14ac:dyDescent="0.15">
      <c r="E405" s="33"/>
      <c r="F405" s="33"/>
      <c r="G405" s="33"/>
    </row>
    <row r="406" spans="5:7" ht="13" x14ac:dyDescent="0.15">
      <c r="E406" s="33"/>
      <c r="F406" s="33"/>
      <c r="G406" s="33"/>
    </row>
    <row r="407" spans="5:7" ht="13" x14ac:dyDescent="0.15">
      <c r="E407" s="33"/>
      <c r="F407" s="33"/>
      <c r="G407" s="33"/>
    </row>
    <row r="408" spans="5:7" ht="13" x14ac:dyDescent="0.15">
      <c r="E408" s="33"/>
      <c r="F408" s="33"/>
      <c r="G408" s="33"/>
    </row>
    <row r="409" spans="5:7" ht="13" x14ac:dyDescent="0.15">
      <c r="E409" s="33"/>
      <c r="F409" s="33"/>
      <c r="G409" s="33"/>
    </row>
    <row r="410" spans="5:7" ht="13" x14ac:dyDescent="0.15">
      <c r="E410" s="33"/>
      <c r="F410" s="33"/>
      <c r="G410" s="33"/>
    </row>
    <row r="411" spans="5:7" ht="13" x14ac:dyDescent="0.15">
      <c r="E411" s="33"/>
      <c r="F411" s="33"/>
      <c r="G411" s="33"/>
    </row>
    <row r="412" spans="5:7" ht="13" x14ac:dyDescent="0.15">
      <c r="E412" s="33"/>
      <c r="F412" s="33"/>
      <c r="G412" s="33"/>
    </row>
    <row r="413" spans="5:7" ht="13" x14ac:dyDescent="0.15">
      <c r="E413" s="33"/>
      <c r="F413" s="33"/>
      <c r="G413" s="33"/>
    </row>
    <row r="414" spans="5:7" ht="13" x14ac:dyDescent="0.15">
      <c r="E414" s="33"/>
      <c r="F414" s="33"/>
      <c r="G414" s="33"/>
    </row>
    <row r="415" spans="5:7" ht="13" x14ac:dyDescent="0.15">
      <c r="E415" s="33"/>
      <c r="F415" s="33"/>
      <c r="G415" s="33"/>
    </row>
    <row r="416" spans="5:7" ht="13" x14ac:dyDescent="0.15">
      <c r="E416" s="33"/>
      <c r="F416" s="33"/>
      <c r="G416" s="33"/>
    </row>
    <row r="417" spans="5:7" ht="13" x14ac:dyDescent="0.15">
      <c r="E417" s="33"/>
      <c r="F417" s="33"/>
      <c r="G417" s="33"/>
    </row>
    <row r="418" spans="5:7" ht="13" x14ac:dyDescent="0.15">
      <c r="E418" s="33"/>
      <c r="F418" s="33"/>
      <c r="G418" s="33"/>
    </row>
    <row r="419" spans="5:7" ht="13" x14ac:dyDescent="0.15">
      <c r="E419" s="33"/>
      <c r="F419" s="33"/>
      <c r="G419" s="33"/>
    </row>
    <row r="420" spans="5:7" ht="13" x14ac:dyDescent="0.15">
      <c r="E420" s="33"/>
      <c r="F420" s="33"/>
      <c r="G420" s="33"/>
    </row>
    <row r="421" spans="5:7" ht="13" x14ac:dyDescent="0.15">
      <c r="E421" s="33"/>
      <c r="F421" s="33"/>
      <c r="G421" s="33"/>
    </row>
    <row r="422" spans="5:7" ht="13" x14ac:dyDescent="0.15">
      <c r="E422" s="33"/>
      <c r="F422" s="33"/>
      <c r="G422" s="33"/>
    </row>
    <row r="423" spans="5:7" ht="13" x14ac:dyDescent="0.15">
      <c r="E423" s="33"/>
      <c r="F423" s="33"/>
      <c r="G423" s="33"/>
    </row>
    <row r="424" spans="5:7" ht="13" x14ac:dyDescent="0.15">
      <c r="E424" s="33"/>
      <c r="F424" s="33"/>
      <c r="G424" s="33"/>
    </row>
    <row r="425" spans="5:7" ht="13" x14ac:dyDescent="0.15">
      <c r="E425" s="33"/>
      <c r="F425" s="33"/>
      <c r="G425" s="33"/>
    </row>
    <row r="426" spans="5:7" ht="13" x14ac:dyDescent="0.15">
      <c r="E426" s="33"/>
      <c r="F426" s="33"/>
      <c r="G426" s="33"/>
    </row>
    <row r="427" spans="5:7" ht="13" x14ac:dyDescent="0.15">
      <c r="E427" s="33"/>
      <c r="F427" s="33"/>
      <c r="G427" s="33"/>
    </row>
    <row r="428" spans="5:7" ht="13" x14ac:dyDescent="0.15">
      <c r="E428" s="33"/>
      <c r="F428" s="33"/>
      <c r="G428" s="33"/>
    </row>
    <row r="429" spans="5:7" ht="13" x14ac:dyDescent="0.15">
      <c r="E429" s="33"/>
      <c r="F429" s="33"/>
      <c r="G429" s="33"/>
    </row>
    <row r="430" spans="5:7" ht="13" x14ac:dyDescent="0.15">
      <c r="E430" s="33"/>
      <c r="F430" s="33"/>
      <c r="G430" s="33"/>
    </row>
    <row r="431" spans="5:7" ht="13" x14ac:dyDescent="0.15">
      <c r="E431" s="33"/>
      <c r="F431" s="33"/>
      <c r="G431" s="33"/>
    </row>
    <row r="432" spans="5:7" ht="13" x14ac:dyDescent="0.15">
      <c r="E432" s="33"/>
      <c r="F432" s="33"/>
      <c r="G432" s="33"/>
    </row>
    <row r="433" spans="5:7" ht="13" x14ac:dyDescent="0.15">
      <c r="E433" s="33"/>
      <c r="F433" s="33"/>
      <c r="G433" s="33"/>
    </row>
    <row r="434" spans="5:7" ht="13" x14ac:dyDescent="0.15">
      <c r="E434" s="33"/>
      <c r="F434" s="33"/>
      <c r="G434" s="33"/>
    </row>
    <row r="435" spans="5:7" ht="13" x14ac:dyDescent="0.15">
      <c r="E435" s="33"/>
      <c r="F435" s="33"/>
      <c r="G435" s="33"/>
    </row>
    <row r="436" spans="5:7" ht="13" x14ac:dyDescent="0.15">
      <c r="E436" s="33"/>
      <c r="F436" s="33"/>
      <c r="G436" s="33"/>
    </row>
    <row r="437" spans="5:7" ht="13" x14ac:dyDescent="0.15">
      <c r="E437" s="33"/>
      <c r="F437" s="33"/>
      <c r="G437" s="33"/>
    </row>
    <row r="438" spans="5:7" ht="13" x14ac:dyDescent="0.15">
      <c r="E438" s="33"/>
      <c r="F438" s="33"/>
      <c r="G438" s="33"/>
    </row>
    <row r="439" spans="5:7" ht="13" x14ac:dyDescent="0.15">
      <c r="E439" s="33"/>
      <c r="F439" s="33"/>
      <c r="G439" s="33"/>
    </row>
    <row r="440" spans="5:7" ht="13" x14ac:dyDescent="0.15">
      <c r="E440" s="33"/>
      <c r="F440" s="33"/>
      <c r="G440" s="33"/>
    </row>
    <row r="441" spans="5:7" ht="13" x14ac:dyDescent="0.15">
      <c r="E441" s="33"/>
      <c r="F441" s="33"/>
      <c r="G441" s="33"/>
    </row>
    <row r="442" spans="5:7" ht="13" x14ac:dyDescent="0.15">
      <c r="E442" s="33"/>
      <c r="F442" s="33"/>
      <c r="G442" s="33"/>
    </row>
    <row r="443" spans="5:7" ht="13" x14ac:dyDescent="0.15">
      <c r="E443" s="33"/>
      <c r="F443" s="33"/>
      <c r="G443" s="33"/>
    </row>
    <row r="444" spans="5:7" ht="13" x14ac:dyDescent="0.15">
      <c r="E444" s="33"/>
      <c r="F444" s="33"/>
      <c r="G444" s="33"/>
    </row>
    <row r="445" spans="5:7" ht="13" x14ac:dyDescent="0.15">
      <c r="E445" s="33"/>
      <c r="F445" s="33"/>
      <c r="G445" s="33"/>
    </row>
    <row r="446" spans="5:7" ht="13" x14ac:dyDescent="0.15">
      <c r="E446" s="33"/>
      <c r="F446" s="33"/>
      <c r="G446" s="33"/>
    </row>
    <row r="447" spans="5:7" ht="13" x14ac:dyDescent="0.15">
      <c r="E447" s="33"/>
      <c r="F447" s="33"/>
      <c r="G447" s="33"/>
    </row>
    <row r="448" spans="5:7" ht="13" x14ac:dyDescent="0.15">
      <c r="E448" s="33"/>
      <c r="F448" s="33"/>
      <c r="G448" s="33"/>
    </row>
    <row r="449" spans="5:7" ht="13" x14ac:dyDescent="0.15">
      <c r="E449" s="33"/>
      <c r="F449" s="33"/>
      <c r="G449" s="33"/>
    </row>
    <row r="450" spans="5:7" ht="13" x14ac:dyDescent="0.15">
      <c r="E450" s="33"/>
      <c r="F450" s="33"/>
      <c r="G450" s="33"/>
    </row>
    <row r="451" spans="5:7" ht="13" x14ac:dyDescent="0.15">
      <c r="E451" s="33"/>
      <c r="F451" s="33"/>
      <c r="G451" s="33"/>
    </row>
    <row r="452" spans="5:7" ht="13" x14ac:dyDescent="0.15">
      <c r="E452" s="33"/>
      <c r="F452" s="33"/>
      <c r="G452" s="33"/>
    </row>
    <row r="453" spans="5:7" ht="13" x14ac:dyDescent="0.15">
      <c r="E453" s="33"/>
      <c r="F453" s="33"/>
      <c r="G453" s="33"/>
    </row>
    <row r="454" spans="5:7" ht="13" x14ac:dyDescent="0.15">
      <c r="E454" s="33"/>
      <c r="F454" s="33"/>
      <c r="G454" s="33"/>
    </row>
    <row r="455" spans="5:7" ht="13" x14ac:dyDescent="0.15">
      <c r="E455" s="33"/>
      <c r="F455" s="33"/>
      <c r="G455" s="33"/>
    </row>
    <row r="456" spans="5:7" ht="13" x14ac:dyDescent="0.15">
      <c r="E456" s="33"/>
      <c r="F456" s="33"/>
      <c r="G456" s="33"/>
    </row>
    <row r="457" spans="5:7" ht="13" x14ac:dyDescent="0.15">
      <c r="E457" s="33"/>
      <c r="F457" s="33"/>
      <c r="G457" s="33"/>
    </row>
    <row r="458" spans="5:7" ht="13" x14ac:dyDescent="0.15">
      <c r="E458" s="33"/>
      <c r="F458" s="33"/>
      <c r="G458" s="33"/>
    </row>
    <row r="459" spans="5:7" ht="13" x14ac:dyDescent="0.15">
      <c r="E459" s="33"/>
      <c r="F459" s="33"/>
      <c r="G459" s="33"/>
    </row>
    <row r="460" spans="5:7" ht="13" x14ac:dyDescent="0.15">
      <c r="E460" s="33"/>
      <c r="F460" s="33"/>
      <c r="G460" s="33"/>
    </row>
    <row r="461" spans="5:7" ht="13" x14ac:dyDescent="0.15">
      <c r="E461" s="33"/>
      <c r="F461" s="33"/>
      <c r="G461" s="33"/>
    </row>
    <row r="462" spans="5:7" ht="13" x14ac:dyDescent="0.15">
      <c r="E462" s="33"/>
      <c r="F462" s="33"/>
      <c r="G462" s="33"/>
    </row>
    <row r="463" spans="5:7" ht="13" x14ac:dyDescent="0.15">
      <c r="E463" s="33"/>
      <c r="F463" s="33"/>
      <c r="G463" s="33"/>
    </row>
    <row r="464" spans="5:7" ht="13" x14ac:dyDescent="0.15">
      <c r="E464" s="33"/>
      <c r="F464" s="33"/>
      <c r="G464" s="33"/>
    </row>
    <row r="465" spans="5:7" ht="13" x14ac:dyDescent="0.15">
      <c r="E465" s="33"/>
      <c r="F465" s="33"/>
      <c r="G465" s="33"/>
    </row>
    <row r="466" spans="5:7" ht="13" x14ac:dyDescent="0.15">
      <c r="E466" s="33"/>
      <c r="F466" s="33"/>
      <c r="G466" s="33"/>
    </row>
    <row r="467" spans="5:7" ht="13" x14ac:dyDescent="0.15">
      <c r="E467" s="33"/>
      <c r="F467" s="33"/>
      <c r="G467" s="33"/>
    </row>
    <row r="468" spans="5:7" ht="13" x14ac:dyDescent="0.15">
      <c r="E468" s="33"/>
      <c r="F468" s="33"/>
      <c r="G468" s="33"/>
    </row>
    <row r="469" spans="5:7" ht="13" x14ac:dyDescent="0.15">
      <c r="E469" s="33"/>
      <c r="F469" s="33"/>
      <c r="G469" s="33"/>
    </row>
    <row r="470" spans="5:7" ht="13" x14ac:dyDescent="0.15">
      <c r="E470" s="33"/>
      <c r="F470" s="33"/>
      <c r="G470" s="33"/>
    </row>
    <row r="471" spans="5:7" ht="13" x14ac:dyDescent="0.15">
      <c r="E471" s="33"/>
      <c r="F471" s="33"/>
      <c r="G471" s="33"/>
    </row>
    <row r="472" spans="5:7" ht="13" x14ac:dyDescent="0.15">
      <c r="E472" s="33"/>
      <c r="F472" s="33"/>
      <c r="G472" s="33"/>
    </row>
    <row r="473" spans="5:7" ht="13" x14ac:dyDescent="0.15">
      <c r="E473" s="33"/>
      <c r="F473" s="33"/>
      <c r="G473" s="33"/>
    </row>
    <row r="474" spans="5:7" ht="13" x14ac:dyDescent="0.15">
      <c r="E474" s="33"/>
      <c r="F474" s="33"/>
      <c r="G474" s="33"/>
    </row>
    <row r="475" spans="5:7" ht="13" x14ac:dyDescent="0.15">
      <c r="E475" s="33"/>
      <c r="F475" s="33"/>
      <c r="G475" s="33"/>
    </row>
    <row r="476" spans="5:7" ht="13" x14ac:dyDescent="0.15">
      <c r="E476" s="33"/>
      <c r="F476" s="33"/>
      <c r="G476" s="33"/>
    </row>
    <row r="477" spans="5:7" ht="13" x14ac:dyDescent="0.15">
      <c r="E477" s="33"/>
      <c r="F477" s="33"/>
      <c r="G477" s="33"/>
    </row>
    <row r="478" spans="5:7" ht="13" x14ac:dyDescent="0.15">
      <c r="E478" s="33"/>
      <c r="F478" s="33"/>
      <c r="G478" s="33"/>
    </row>
    <row r="479" spans="5:7" ht="13" x14ac:dyDescent="0.15">
      <c r="E479" s="33"/>
      <c r="F479" s="33"/>
      <c r="G479" s="33"/>
    </row>
    <row r="480" spans="5:7" ht="13" x14ac:dyDescent="0.15">
      <c r="E480" s="33"/>
      <c r="F480" s="33"/>
      <c r="G480" s="33"/>
    </row>
    <row r="481" spans="5:7" ht="13" x14ac:dyDescent="0.15">
      <c r="E481" s="33"/>
      <c r="F481" s="33"/>
      <c r="G481" s="33"/>
    </row>
    <row r="482" spans="5:7" ht="13" x14ac:dyDescent="0.15">
      <c r="E482" s="33"/>
      <c r="F482" s="33"/>
      <c r="G482" s="33"/>
    </row>
    <row r="483" spans="5:7" ht="13" x14ac:dyDescent="0.15">
      <c r="E483" s="33"/>
      <c r="F483" s="33"/>
      <c r="G483" s="33"/>
    </row>
    <row r="484" spans="5:7" ht="13" x14ac:dyDescent="0.15">
      <c r="E484" s="33"/>
      <c r="F484" s="33"/>
      <c r="G484" s="33"/>
    </row>
    <row r="485" spans="5:7" ht="13" x14ac:dyDescent="0.15">
      <c r="E485" s="33"/>
      <c r="F485" s="33"/>
      <c r="G485" s="33"/>
    </row>
    <row r="486" spans="5:7" ht="13" x14ac:dyDescent="0.15">
      <c r="E486" s="33"/>
      <c r="F486" s="33"/>
      <c r="G486" s="33"/>
    </row>
    <row r="487" spans="5:7" ht="13" x14ac:dyDescent="0.15">
      <c r="E487" s="33"/>
      <c r="F487" s="33"/>
      <c r="G487" s="33"/>
    </row>
    <row r="488" spans="5:7" ht="13" x14ac:dyDescent="0.15">
      <c r="E488" s="33"/>
      <c r="F488" s="33"/>
      <c r="G488" s="33"/>
    </row>
    <row r="489" spans="5:7" ht="13" x14ac:dyDescent="0.15">
      <c r="E489" s="33"/>
      <c r="F489" s="33"/>
      <c r="G489" s="33"/>
    </row>
    <row r="490" spans="5:7" ht="13" x14ac:dyDescent="0.15">
      <c r="E490" s="33"/>
      <c r="F490" s="33"/>
      <c r="G490" s="33"/>
    </row>
    <row r="491" spans="5:7" ht="13" x14ac:dyDescent="0.15">
      <c r="E491" s="33"/>
      <c r="F491" s="33"/>
      <c r="G491" s="33"/>
    </row>
    <row r="492" spans="5:7" ht="13" x14ac:dyDescent="0.15">
      <c r="E492" s="33"/>
      <c r="F492" s="33"/>
      <c r="G492" s="33"/>
    </row>
    <row r="493" spans="5:7" ht="13" x14ac:dyDescent="0.15">
      <c r="E493" s="33"/>
      <c r="F493" s="33"/>
      <c r="G493" s="33"/>
    </row>
    <row r="494" spans="5:7" ht="13" x14ac:dyDescent="0.15">
      <c r="E494" s="33"/>
      <c r="F494" s="33"/>
      <c r="G494" s="33"/>
    </row>
    <row r="495" spans="5:7" ht="13" x14ac:dyDescent="0.15">
      <c r="E495" s="33"/>
      <c r="F495" s="33"/>
      <c r="G495" s="33"/>
    </row>
    <row r="496" spans="5:7" ht="13" x14ac:dyDescent="0.15">
      <c r="E496" s="33"/>
      <c r="F496" s="33"/>
      <c r="G496" s="33"/>
    </row>
    <row r="497" spans="5:7" ht="13" x14ac:dyDescent="0.15">
      <c r="E497" s="33"/>
      <c r="F497" s="33"/>
      <c r="G497" s="33"/>
    </row>
    <row r="498" spans="5:7" ht="13" x14ac:dyDescent="0.15">
      <c r="E498" s="33"/>
      <c r="F498" s="33"/>
      <c r="G498" s="33"/>
    </row>
    <row r="499" spans="5:7" ht="13" x14ac:dyDescent="0.15">
      <c r="E499" s="33"/>
      <c r="F499" s="33"/>
      <c r="G499" s="33"/>
    </row>
    <row r="500" spans="5:7" ht="13" x14ac:dyDescent="0.15">
      <c r="E500" s="33"/>
      <c r="F500" s="33"/>
      <c r="G500" s="33"/>
    </row>
    <row r="501" spans="5:7" ht="13" x14ac:dyDescent="0.15">
      <c r="E501" s="33"/>
      <c r="F501" s="33"/>
      <c r="G501" s="33"/>
    </row>
    <row r="502" spans="5:7" ht="13" x14ac:dyDescent="0.15">
      <c r="E502" s="33"/>
      <c r="F502" s="33"/>
      <c r="G502" s="33"/>
    </row>
    <row r="503" spans="5:7" ht="13" x14ac:dyDescent="0.15">
      <c r="E503" s="33"/>
      <c r="F503" s="33"/>
      <c r="G503" s="33"/>
    </row>
    <row r="504" spans="5:7" ht="13" x14ac:dyDescent="0.15">
      <c r="E504" s="33"/>
      <c r="F504" s="33"/>
      <c r="G504" s="33"/>
    </row>
    <row r="505" spans="5:7" ht="13" x14ac:dyDescent="0.15">
      <c r="E505" s="33"/>
      <c r="F505" s="33"/>
      <c r="G505" s="33"/>
    </row>
    <row r="506" spans="5:7" ht="13" x14ac:dyDescent="0.15">
      <c r="E506" s="33"/>
      <c r="F506" s="33"/>
      <c r="G506" s="33"/>
    </row>
    <row r="507" spans="5:7" ht="13" x14ac:dyDescent="0.15">
      <c r="E507" s="33"/>
      <c r="F507" s="33"/>
      <c r="G507" s="33"/>
    </row>
    <row r="508" spans="5:7" ht="13" x14ac:dyDescent="0.15">
      <c r="E508" s="33"/>
      <c r="F508" s="33"/>
      <c r="G508" s="33"/>
    </row>
    <row r="509" spans="5:7" ht="13" x14ac:dyDescent="0.15">
      <c r="E509" s="33"/>
      <c r="F509" s="33"/>
      <c r="G509" s="33"/>
    </row>
    <row r="510" spans="5:7" ht="13" x14ac:dyDescent="0.15">
      <c r="E510" s="33"/>
      <c r="F510" s="33"/>
      <c r="G510" s="33"/>
    </row>
    <row r="511" spans="5:7" ht="13" x14ac:dyDescent="0.15">
      <c r="E511" s="33"/>
      <c r="F511" s="33"/>
      <c r="G511" s="33"/>
    </row>
    <row r="512" spans="5:7" ht="13" x14ac:dyDescent="0.15">
      <c r="E512" s="33"/>
      <c r="F512" s="33"/>
      <c r="G512" s="33"/>
    </row>
    <row r="513" spans="5:7" ht="13" x14ac:dyDescent="0.15">
      <c r="E513" s="33"/>
      <c r="F513" s="33"/>
      <c r="G513" s="33"/>
    </row>
    <row r="514" spans="5:7" ht="13" x14ac:dyDescent="0.15">
      <c r="E514" s="33"/>
      <c r="F514" s="33"/>
      <c r="G514" s="33"/>
    </row>
    <row r="515" spans="5:7" ht="13" x14ac:dyDescent="0.15">
      <c r="E515" s="33"/>
      <c r="F515" s="33"/>
      <c r="G515" s="33"/>
    </row>
    <row r="516" spans="5:7" ht="13" x14ac:dyDescent="0.15">
      <c r="E516" s="33"/>
      <c r="F516" s="33"/>
      <c r="G516" s="33"/>
    </row>
    <row r="517" spans="5:7" ht="13" x14ac:dyDescent="0.15">
      <c r="E517" s="33"/>
      <c r="F517" s="33"/>
      <c r="G517" s="33"/>
    </row>
    <row r="518" spans="5:7" ht="13" x14ac:dyDescent="0.15">
      <c r="E518" s="33"/>
      <c r="F518" s="33"/>
      <c r="G518" s="33"/>
    </row>
    <row r="519" spans="5:7" ht="13" x14ac:dyDescent="0.15">
      <c r="E519" s="33"/>
      <c r="F519" s="33"/>
      <c r="G519" s="33"/>
    </row>
    <row r="520" spans="5:7" ht="13" x14ac:dyDescent="0.15">
      <c r="E520" s="33"/>
      <c r="F520" s="33"/>
      <c r="G520" s="33"/>
    </row>
    <row r="521" spans="5:7" ht="13" x14ac:dyDescent="0.15">
      <c r="E521" s="33"/>
      <c r="F521" s="33"/>
      <c r="G521" s="33"/>
    </row>
    <row r="522" spans="5:7" ht="13" x14ac:dyDescent="0.15">
      <c r="E522" s="33"/>
      <c r="F522" s="33"/>
      <c r="G522" s="33"/>
    </row>
    <row r="523" spans="5:7" ht="13" x14ac:dyDescent="0.15">
      <c r="E523" s="33"/>
      <c r="F523" s="33"/>
      <c r="G523" s="33"/>
    </row>
    <row r="524" spans="5:7" ht="13" x14ac:dyDescent="0.15">
      <c r="E524" s="33"/>
      <c r="F524" s="33"/>
      <c r="G524" s="33"/>
    </row>
    <row r="525" spans="5:7" ht="13" x14ac:dyDescent="0.15">
      <c r="E525" s="33"/>
      <c r="F525" s="33"/>
      <c r="G525" s="33"/>
    </row>
    <row r="526" spans="5:7" ht="13" x14ac:dyDescent="0.15">
      <c r="E526" s="33"/>
      <c r="F526" s="33"/>
      <c r="G526" s="33"/>
    </row>
    <row r="527" spans="5:7" ht="13" x14ac:dyDescent="0.15">
      <c r="E527" s="33"/>
      <c r="F527" s="33"/>
      <c r="G527" s="33"/>
    </row>
    <row r="528" spans="5:7" ht="13" x14ac:dyDescent="0.15">
      <c r="E528" s="33"/>
      <c r="F528" s="33"/>
      <c r="G528" s="33"/>
    </row>
    <row r="529" spans="5:7" ht="13" x14ac:dyDescent="0.15">
      <c r="E529" s="33"/>
      <c r="F529" s="33"/>
      <c r="G529" s="33"/>
    </row>
    <row r="530" spans="5:7" ht="13" x14ac:dyDescent="0.15">
      <c r="E530" s="33"/>
      <c r="F530" s="33"/>
      <c r="G530" s="33"/>
    </row>
    <row r="531" spans="5:7" ht="13" x14ac:dyDescent="0.15">
      <c r="E531" s="33"/>
      <c r="F531" s="33"/>
      <c r="G531" s="33"/>
    </row>
    <row r="532" spans="5:7" ht="13" x14ac:dyDescent="0.15">
      <c r="E532" s="33"/>
      <c r="F532" s="33"/>
      <c r="G532" s="33"/>
    </row>
    <row r="533" spans="5:7" ht="13" x14ac:dyDescent="0.15">
      <c r="E533" s="33"/>
      <c r="F533" s="33"/>
      <c r="G533" s="33"/>
    </row>
    <row r="534" spans="5:7" ht="13" x14ac:dyDescent="0.15">
      <c r="E534" s="33"/>
      <c r="F534" s="33"/>
      <c r="G534" s="33"/>
    </row>
    <row r="535" spans="5:7" ht="13" x14ac:dyDescent="0.15">
      <c r="E535" s="33"/>
      <c r="F535" s="33"/>
      <c r="G535" s="33"/>
    </row>
    <row r="536" spans="5:7" ht="13" x14ac:dyDescent="0.15">
      <c r="E536" s="33"/>
      <c r="F536" s="33"/>
      <c r="G536" s="33"/>
    </row>
    <row r="537" spans="5:7" ht="13" x14ac:dyDescent="0.15">
      <c r="E537" s="33"/>
      <c r="F537" s="33"/>
      <c r="G537" s="33"/>
    </row>
    <row r="538" spans="5:7" ht="13" x14ac:dyDescent="0.15">
      <c r="E538" s="33"/>
      <c r="F538" s="33"/>
      <c r="G538" s="33"/>
    </row>
    <row r="539" spans="5:7" ht="13" x14ac:dyDescent="0.15">
      <c r="E539" s="33"/>
      <c r="F539" s="33"/>
      <c r="G539" s="33"/>
    </row>
    <row r="540" spans="5:7" ht="13" x14ac:dyDescent="0.15">
      <c r="E540" s="33"/>
      <c r="F540" s="33"/>
      <c r="G540" s="33"/>
    </row>
    <row r="541" spans="5:7" ht="13" x14ac:dyDescent="0.15">
      <c r="E541" s="33"/>
      <c r="F541" s="33"/>
      <c r="G541" s="33"/>
    </row>
    <row r="542" spans="5:7" ht="13" x14ac:dyDescent="0.15">
      <c r="E542" s="33"/>
      <c r="F542" s="33"/>
      <c r="G542" s="33"/>
    </row>
    <row r="543" spans="5:7" ht="13" x14ac:dyDescent="0.15">
      <c r="E543" s="33"/>
      <c r="F543" s="33"/>
      <c r="G543" s="33"/>
    </row>
    <row r="544" spans="5:7" ht="13" x14ac:dyDescent="0.15">
      <c r="E544" s="33"/>
      <c r="F544" s="33"/>
      <c r="G544" s="33"/>
    </row>
    <row r="545" spans="5:7" ht="13" x14ac:dyDescent="0.15">
      <c r="E545" s="33"/>
      <c r="F545" s="33"/>
      <c r="G545" s="33"/>
    </row>
    <row r="546" spans="5:7" ht="13" x14ac:dyDescent="0.15">
      <c r="E546" s="33"/>
      <c r="F546" s="33"/>
      <c r="G546" s="33"/>
    </row>
    <row r="547" spans="5:7" ht="13" x14ac:dyDescent="0.15">
      <c r="E547" s="33"/>
      <c r="F547" s="33"/>
      <c r="G547" s="33"/>
    </row>
    <row r="548" spans="5:7" ht="13" x14ac:dyDescent="0.15">
      <c r="E548" s="33"/>
      <c r="F548" s="33"/>
      <c r="G548" s="33"/>
    </row>
    <row r="549" spans="5:7" ht="13" x14ac:dyDescent="0.15">
      <c r="E549" s="33"/>
      <c r="F549" s="33"/>
      <c r="G549" s="33"/>
    </row>
    <row r="550" spans="5:7" ht="13" x14ac:dyDescent="0.15">
      <c r="E550" s="33"/>
      <c r="F550" s="33"/>
      <c r="G550" s="33"/>
    </row>
    <row r="551" spans="5:7" ht="13" x14ac:dyDescent="0.15">
      <c r="E551" s="33"/>
      <c r="F551" s="33"/>
      <c r="G551" s="33"/>
    </row>
    <row r="552" spans="5:7" ht="13" x14ac:dyDescent="0.15">
      <c r="E552" s="33"/>
      <c r="F552" s="33"/>
      <c r="G552" s="33"/>
    </row>
    <row r="553" spans="5:7" ht="13" x14ac:dyDescent="0.15">
      <c r="E553" s="33"/>
      <c r="F553" s="33"/>
      <c r="G553" s="33"/>
    </row>
    <row r="554" spans="5:7" ht="13" x14ac:dyDescent="0.15">
      <c r="E554" s="33"/>
      <c r="F554" s="33"/>
      <c r="G554" s="33"/>
    </row>
    <row r="555" spans="5:7" ht="13" x14ac:dyDescent="0.15">
      <c r="E555" s="33"/>
      <c r="F555" s="33"/>
      <c r="G555" s="33"/>
    </row>
    <row r="556" spans="5:7" ht="13" x14ac:dyDescent="0.15">
      <c r="E556" s="33"/>
      <c r="F556" s="33"/>
      <c r="G556" s="33"/>
    </row>
    <row r="557" spans="5:7" ht="13" x14ac:dyDescent="0.15">
      <c r="E557" s="33"/>
      <c r="F557" s="33"/>
      <c r="G557" s="33"/>
    </row>
    <row r="558" spans="5:7" ht="13" x14ac:dyDescent="0.15">
      <c r="E558" s="33"/>
      <c r="F558" s="33"/>
      <c r="G558" s="33"/>
    </row>
    <row r="559" spans="5:7" ht="13" x14ac:dyDescent="0.15">
      <c r="E559" s="33"/>
      <c r="F559" s="33"/>
      <c r="G559" s="33"/>
    </row>
    <row r="560" spans="5:7" ht="13" x14ac:dyDescent="0.15">
      <c r="E560" s="33"/>
      <c r="F560" s="33"/>
      <c r="G560" s="33"/>
    </row>
    <row r="561" spans="5:7" ht="13" x14ac:dyDescent="0.15">
      <c r="E561" s="33"/>
      <c r="F561" s="33"/>
      <c r="G561" s="33"/>
    </row>
    <row r="562" spans="5:7" ht="13" x14ac:dyDescent="0.15">
      <c r="E562" s="33"/>
      <c r="F562" s="33"/>
      <c r="G562" s="33"/>
    </row>
    <row r="563" spans="5:7" ht="13" x14ac:dyDescent="0.15">
      <c r="E563" s="33"/>
      <c r="F563" s="33"/>
      <c r="G563" s="33"/>
    </row>
    <row r="564" spans="5:7" ht="13" x14ac:dyDescent="0.15">
      <c r="E564" s="33"/>
      <c r="F564" s="33"/>
      <c r="G564" s="33"/>
    </row>
    <row r="565" spans="5:7" ht="13" x14ac:dyDescent="0.15">
      <c r="E565" s="33"/>
      <c r="F565" s="33"/>
      <c r="G565" s="33"/>
    </row>
    <row r="566" spans="5:7" ht="13" x14ac:dyDescent="0.15">
      <c r="E566" s="33"/>
      <c r="F566" s="33"/>
      <c r="G566" s="33"/>
    </row>
    <row r="567" spans="5:7" ht="13" x14ac:dyDescent="0.15">
      <c r="E567" s="33"/>
      <c r="F567" s="33"/>
      <c r="G567" s="33"/>
    </row>
    <row r="568" spans="5:7" ht="13" x14ac:dyDescent="0.15">
      <c r="E568" s="33"/>
      <c r="F568" s="33"/>
      <c r="G568" s="33"/>
    </row>
    <row r="569" spans="5:7" ht="13" x14ac:dyDescent="0.15">
      <c r="E569" s="33"/>
      <c r="F569" s="33"/>
      <c r="G569" s="33"/>
    </row>
    <row r="570" spans="5:7" ht="13" x14ac:dyDescent="0.15">
      <c r="E570" s="33"/>
      <c r="F570" s="33"/>
      <c r="G570" s="33"/>
    </row>
    <row r="571" spans="5:7" ht="13" x14ac:dyDescent="0.15">
      <c r="E571" s="33"/>
      <c r="F571" s="33"/>
      <c r="G571" s="33"/>
    </row>
    <row r="572" spans="5:7" ht="13" x14ac:dyDescent="0.15">
      <c r="E572" s="33"/>
      <c r="F572" s="33"/>
      <c r="G572" s="33"/>
    </row>
    <row r="573" spans="5:7" ht="13" x14ac:dyDescent="0.15">
      <c r="E573" s="33"/>
      <c r="F573" s="33"/>
      <c r="G573" s="33"/>
    </row>
    <row r="574" spans="5:7" ht="13" x14ac:dyDescent="0.15">
      <c r="E574" s="33"/>
      <c r="F574" s="33"/>
      <c r="G574" s="33"/>
    </row>
    <row r="575" spans="5:7" ht="13" x14ac:dyDescent="0.15">
      <c r="E575" s="33"/>
      <c r="F575" s="33"/>
      <c r="G575" s="33"/>
    </row>
    <row r="576" spans="5:7" ht="13" x14ac:dyDescent="0.15">
      <c r="E576" s="33"/>
      <c r="F576" s="33"/>
      <c r="G576" s="33"/>
    </row>
    <row r="577" spans="5:7" ht="13" x14ac:dyDescent="0.15">
      <c r="E577" s="33"/>
      <c r="F577" s="33"/>
      <c r="G577" s="33"/>
    </row>
    <row r="578" spans="5:7" ht="13" x14ac:dyDescent="0.15">
      <c r="E578" s="33"/>
      <c r="F578" s="33"/>
      <c r="G578" s="33"/>
    </row>
    <row r="579" spans="5:7" ht="13" x14ac:dyDescent="0.15">
      <c r="E579" s="33"/>
      <c r="F579" s="33"/>
      <c r="G579" s="33"/>
    </row>
    <row r="580" spans="5:7" ht="13" x14ac:dyDescent="0.15">
      <c r="E580" s="33"/>
      <c r="F580" s="33"/>
      <c r="G580" s="33"/>
    </row>
    <row r="581" spans="5:7" ht="13" x14ac:dyDescent="0.15">
      <c r="E581" s="33"/>
      <c r="F581" s="33"/>
      <c r="G581" s="33"/>
    </row>
    <row r="582" spans="5:7" ht="13" x14ac:dyDescent="0.15">
      <c r="E582" s="33"/>
      <c r="F582" s="33"/>
      <c r="G582" s="33"/>
    </row>
    <row r="583" spans="5:7" ht="13" x14ac:dyDescent="0.15">
      <c r="E583" s="33"/>
      <c r="F583" s="33"/>
      <c r="G583" s="33"/>
    </row>
    <row r="584" spans="5:7" ht="13" x14ac:dyDescent="0.15">
      <c r="E584" s="33"/>
      <c r="F584" s="33"/>
      <c r="G584" s="33"/>
    </row>
    <row r="585" spans="5:7" ht="13" x14ac:dyDescent="0.15">
      <c r="E585" s="33"/>
      <c r="F585" s="33"/>
      <c r="G585" s="33"/>
    </row>
    <row r="586" spans="5:7" ht="13" x14ac:dyDescent="0.15">
      <c r="E586" s="33"/>
      <c r="F586" s="33"/>
      <c r="G586" s="33"/>
    </row>
    <row r="587" spans="5:7" ht="13" x14ac:dyDescent="0.15">
      <c r="E587" s="33"/>
      <c r="F587" s="33"/>
      <c r="G587" s="33"/>
    </row>
    <row r="588" spans="5:7" ht="13" x14ac:dyDescent="0.15">
      <c r="E588" s="33"/>
      <c r="F588" s="33"/>
      <c r="G588" s="33"/>
    </row>
    <row r="589" spans="5:7" ht="13" x14ac:dyDescent="0.15">
      <c r="E589" s="33"/>
      <c r="F589" s="33"/>
      <c r="G589" s="33"/>
    </row>
    <row r="590" spans="5:7" ht="13" x14ac:dyDescent="0.15">
      <c r="E590" s="33"/>
      <c r="F590" s="33"/>
      <c r="G590" s="33"/>
    </row>
    <row r="591" spans="5:7" ht="13" x14ac:dyDescent="0.15">
      <c r="E591" s="33"/>
      <c r="F591" s="33"/>
      <c r="G591" s="33"/>
    </row>
    <row r="592" spans="5:7" ht="13" x14ac:dyDescent="0.15">
      <c r="E592" s="33"/>
      <c r="F592" s="33"/>
      <c r="G592" s="33"/>
    </row>
    <row r="593" spans="5:7" ht="13" x14ac:dyDescent="0.15">
      <c r="E593" s="33"/>
      <c r="F593" s="33"/>
      <c r="G593" s="33"/>
    </row>
    <row r="594" spans="5:7" ht="13" x14ac:dyDescent="0.15">
      <c r="E594" s="33"/>
      <c r="F594" s="33"/>
      <c r="G594" s="33"/>
    </row>
    <row r="595" spans="5:7" ht="13" x14ac:dyDescent="0.15">
      <c r="E595" s="33"/>
      <c r="F595" s="33"/>
      <c r="G595" s="33"/>
    </row>
    <row r="596" spans="5:7" ht="13" x14ac:dyDescent="0.15">
      <c r="E596" s="33"/>
      <c r="F596" s="33"/>
      <c r="G596" s="33"/>
    </row>
    <row r="597" spans="5:7" ht="13" x14ac:dyDescent="0.15">
      <c r="E597" s="33"/>
      <c r="F597" s="33"/>
      <c r="G597" s="33"/>
    </row>
    <row r="598" spans="5:7" ht="13" x14ac:dyDescent="0.15">
      <c r="E598" s="33"/>
      <c r="F598" s="33"/>
      <c r="G598" s="33"/>
    </row>
    <row r="599" spans="5:7" ht="13" x14ac:dyDescent="0.15">
      <c r="E599" s="33"/>
      <c r="F599" s="33"/>
      <c r="G599" s="33"/>
    </row>
    <row r="600" spans="5:7" ht="13" x14ac:dyDescent="0.15">
      <c r="E600" s="33"/>
      <c r="F600" s="33"/>
      <c r="G600" s="33"/>
    </row>
    <row r="601" spans="5:7" ht="13" x14ac:dyDescent="0.15">
      <c r="E601" s="33"/>
      <c r="F601" s="33"/>
      <c r="G601" s="33"/>
    </row>
    <row r="602" spans="5:7" ht="13" x14ac:dyDescent="0.15">
      <c r="E602" s="33"/>
      <c r="F602" s="33"/>
      <c r="G602" s="33"/>
    </row>
    <row r="603" spans="5:7" ht="13" x14ac:dyDescent="0.15">
      <c r="E603" s="33"/>
      <c r="F603" s="33"/>
      <c r="G603" s="33"/>
    </row>
    <row r="604" spans="5:7" ht="13" x14ac:dyDescent="0.15">
      <c r="E604" s="33"/>
      <c r="F604" s="33"/>
      <c r="G604" s="33"/>
    </row>
    <row r="605" spans="5:7" ht="13" x14ac:dyDescent="0.15">
      <c r="E605" s="33"/>
      <c r="F605" s="33"/>
      <c r="G605" s="33"/>
    </row>
    <row r="606" spans="5:7" ht="13" x14ac:dyDescent="0.15">
      <c r="E606" s="33"/>
      <c r="F606" s="33"/>
      <c r="G606" s="33"/>
    </row>
    <row r="607" spans="5:7" ht="13" x14ac:dyDescent="0.15">
      <c r="E607" s="33"/>
      <c r="F607" s="33"/>
      <c r="G607" s="33"/>
    </row>
    <row r="608" spans="5:7" ht="13" x14ac:dyDescent="0.15">
      <c r="E608" s="33"/>
      <c r="F608" s="33"/>
      <c r="G608" s="33"/>
    </row>
    <row r="609" spans="5:7" ht="13" x14ac:dyDescent="0.15">
      <c r="E609" s="33"/>
      <c r="F609" s="33"/>
      <c r="G609" s="33"/>
    </row>
    <row r="610" spans="5:7" ht="13" x14ac:dyDescent="0.15">
      <c r="E610" s="33"/>
      <c r="F610" s="33"/>
      <c r="G610" s="33"/>
    </row>
    <row r="611" spans="5:7" ht="13" x14ac:dyDescent="0.15">
      <c r="E611" s="33"/>
      <c r="F611" s="33"/>
      <c r="G611" s="33"/>
    </row>
    <row r="612" spans="5:7" ht="13" x14ac:dyDescent="0.15">
      <c r="E612" s="33"/>
      <c r="F612" s="33"/>
      <c r="G612" s="33"/>
    </row>
    <row r="613" spans="5:7" ht="13" x14ac:dyDescent="0.15">
      <c r="E613" s="33"/>
      <c r="F613" s="33"/>
      <c r="G613" s="33"/>
    </row>
    <row r="614" spans="5:7" ht="13" x14ac:dyDescent="0.15">
      <c r="E614" s="33"/>
      <c r="F614" s="33"/>
      <c r="G614" s="33"/>
    </row>
    <row r="615" spans="5:7" ht="13" x14ac:dyDescent="0.15">
      <c r="E615" s="33"/>
      <c r="F615" s="33"/>
      <c r="G615" s="33"/>
    </row>
    <row r="616" spans="5:7" ht="13" x14ac:dyDescent="0.15">
      <c r="E616" s="33"/>
      <c r="F616" s="33"/>
      <c r="G616" s="33"/>
    </row>
    <row r="617" spans="5:7" ht="13" x14ac:dyDescent="0.15">
      <c r="E617" s="33"/>
      <c r="F617" s="33"/>
      <c r="G617" s="33"/>
    </row>
    <row r="618" spans="5:7" ht="13" x14ac:dyDescent="0.15">
      <c r="E618" s="33"/>
      <c r="F618" s="33"/>
      <c r="G618" s="33"/>
    </row>
    <row r="619" spans="5:7" ht="13" x14ac:dyDescent="0.15">
      <c r="E619" s="33"/>
      <c r="F619" s="33"/>
      <c r="G619" s="33"/>
    </row>
    <row r="620" spans="5:7" ht="13" x14ac:dyDescent="0.15">
      <c r="E620" s="33"/>
      <c r="F620" s="33"/>
      <c r="G620" s="33"/>
    </row>
    <row r="621" spans="5:7" ht="13" x14ac:dyDescent="0.15">
      <c r="E621" s="33"/>
      <c r="F621" s="33"/>
      <c r="G621" s="33"/>
    </row>
    <row r="622" spans="5:7" ht="13" x14ac:dyDescent="0.15">
      <c r="E622" s="33"/>
      <c r="F622" s="33"/>
      <c r="G622" s="33"/>
    </row>
    <row r="623" spans="5:7" ht="13" x14ac:dyDescent="0.15">
      <c r="E623" s="33"/>
      <c r="F623" s="33"/>
      <c r="G623" s="33"/>
    </row>
    <row r="624" spans="5:7" ht="13" x14ac:dyDescent="0.15">
      <c r="E624" s="33"/>
      <c r="F624" s="33"/>
      <c r="G624" s="33"/>
    </row>
    <row r="625" spans="5:7" ht="13" x14ac:dyDescent="0.15">
      <c r="E625" s="33"/>
      <c r="F625" s="33"/>
      <c r="G625" s="33"/>
    </row>
    <row r="626" spans="5:7" ht="13" x14ac:dyDescent="0.15">
      <c r="E626" s="33"/>
      <c r="F626" s="33"/>
      <c r="G626" s="33"/>
    </row>
    <row r="627" spans="5:7" ht="13" x14ac:dyDescent="0.15">
      <c r="E627" s="33"/>
      <c r="F627" s="33"/>
      <c r="G627" s="33"/>
    </row>
    <row r="628" spans="5:7" ht="13" x14ac:dyDescent="0.15">
      <c r="E628" s="33"/>
      <c r="F628" s="33"/>
      <c r="G628" s="33"/>
    </row>
    <row r="629" spans="5:7" ht="13" x14ac:dyDescent="0.15">
      <c r="E629" s="33"/>
      <c r="F629" s="33"/>
      <c r="G629" s="33"/>
    </row>
    <row r="630" spans="5:7" ht="13" x14ac:dyDescent="0.15">
      <c r="E630" s="33"/>
      <c r="F630" s="33"/>
      <c r="G630" s="33"/>
    </row>
    <row r="631" spans="5:7" ht="13" x14ac:dyDescent="0.15">
      <c r="E631" s="33"/>
      <c r="F631" s="33"/>
      <c r="G631" s="33"/>
    </row>
    <row r="632" spans="5:7" ht="13" x14ac:dyDescent="0.15">
      <c r="E632" s="33"/>
      <c r="F632" s="33"/>
      <c r="G632" s="33"/>
    </row>
    <row r="633" spans="5:7" ht="13" x14ac:dyDescent="0.15">
      <c r="E633" s="33"/>
      <c r="F633" s="33"/>
      <c r="G633" s="33"/>
    </row>
    <row r="634" spans="5:7" ht="13" x14ac:dyDescent="0.15">
      <c r="E634" s="33"/>
      <c r="F634" s="33"/>
      <c r="G634" s="33"/>
    </row>
    <row r="635" spans="5:7" ht="13" x14ac:dyDescent="0.15">
      <c r="E635" s="33"/>
      <c r="F635" s="33"/>
      <c r="G635" s="33"/>
    </row>
    <row r="636" spans="5:7" ht="13" x14ac:dyDescent="0.15">
      <c r="E636" s="33"/>
      <c r="F636" s="33"/>
      <c r="G636" s="33"/>
    </row>
    <row r="637" spans="5:7" ht="13" x14ac:dyDescent="0.15">
      <c r="E637" s="33"/>
      <c r="F637" s="33"/>
      <c r="G637" s="33"/>
    </row>
    <row r="638" spans="5:7" ht="13" x14ac:dyDescent="0.15">
      <c r="E638" s="33"/>
      <c r="F638" s="33"/>
      <c r="G638" s="33"/>
    </row>
    <row r="639" spans="5:7" ht="13" x14ac:dyDescent="0.15">
      <c r="E639" s="33"/>
      <c r="F639" s="33"/>
      <c r="G639" s="33"/>
    </row>
    <row r="640" spans="5:7" ht="13" x14ac:dyDescent="0.15">
      <c r="E640" s="33"/>
      <c r="F640" s="33"/>
      <c r="G640" s="33"/>
    </row>
    <row r="641" spans="5:7" ht="13" x14ac:dyDescent="0.15">
      <c r="E641" s="33"/>
      <c r="F641" s="33"/>
      <c r="G641" s="33"/>
    </row>
    <row r="642" spans="5:7" ht="13" x14ac:dyDescent="0.15">
      <c r="E642" s="33"/>
      <c r="F642" s="33"/>
      <c r="G642" s="33"/>
    </row>
    <row r="643" spans="5:7" ht="13" x14ac:dyDescent="0.15">
      <c r="E643" s="33"/>
      <c r="F643" s="33"/>
      <c r="G643" s="33"/>
    </row>
    <row r="644" spans="5:7" ht="13" x14ac:dyDescent="0.15">
      <c r="E644" s="33"/>
      <c r="F644" s="33"/>
      <c r="G644" s="33"/>
    </row>
    <row r="645" spans="5:7" ht="13" x14ac:dyDescent="0.15">
      <c r="E645" s="33"/>
      <c r="F645" s="33"/>
      <c r="G645" s="33"/>
    </row>
    <row r="646" spans="5:7" ht="13" x14ac:dyDescent="0.15">
      <c r="E646" s="33"/>
      <c r="F646" s="33"/>
      <c r="G646" s="33"/>
    </row>
    <row r="647" spans="5:7" ht="13" x14ac:dyDescent="0.15">
      <c r="E647" s="33"/>
      <c r="F647" s="33"/>
      <c r="G647" s="33"/>
    </row>
    <row r="648" spans="5:7" ht="13" x14ac:dyDescent="0.15">
      <c r="E648" s="33"/>
      <c r="F648" s="33"/>
      <c r="G648" s="33"/>
    </row>
    <row r="649" spans="5:7" ht="13" x14ac:dyDescent="0.15">
      <c r="E649" s="33"/>
      <c r="F649" s="33"/>
      <c r="G649" s="33"/>
    </row>
    <row r="650" spans="5:7" ht="13" x14ac:dyDescent="0.15">
      <c r="E650" s="33"/>
      <c r="F650" s="33"/>
      <c r="G650" s="33"/>
    </row>
    <row r="651" spans="5:7" ht="13" x14ac:dyDescent="0.15">
      <c r="E651" s="33"/>
      <c r="F651" s="33"/>
      <c r="G651" s="33"/>
    </row>
    <row r="652" spans="5:7" ht="13" x14ac:dyDescent="0.15">
      <c r="E652" s="33"/>
      <c r="F652" s="33"/>
      <c r="G652" s="33"/>
    </row>
    <row r="653" spans="5:7" ht="13" x14ac:dyDescent="0.15">
      <c r="E653" s="33"/>
      <c r="F653" s="33"/>
      <c r="G653" s="33"/>
    </row>
    <row r="654" spans="5:7" ht="13" x14ac:dyDescent="0.15">
      <c r="E654" s="33"/>
      <c r="F654" s="33"/>
      <c r="G654" s="33"/>
    </row>
    <row r="655" spans="5:7" ht="13" x14ac:dyDescent="0.15">
      <c r="E655" s="33"/>
      <c r="F655" s="33"/>
      <c r="G655" s="33"/>
    </row>
    <row r="656" spans="5:7" ht="13" x14ac:dyDescent="0.15">
      <c r="E656" s="33"/>
      <c r="F656" s="33"/>
      <c r="G656" s="33"/>
    </row>
    <row r="657" spans="5:7" ht="13" x14ac:dyDescent="0.15">
      <c r="E657" s="33"/>
      <c r="F657" s="33"/>
      <c r="G657" s="33"/>
    </row>
    <row r="658" spans="5:7" ht="13" x14ac:dyDescent="0.15">
      <c r="E658" s="33"/>
      <c r="F658" s="33"/>
      <c r="G658" s="33"/>
    </row>
    <row r="659" spans="5:7" ht="13" x14ac:dyDescent="0.15">
      <c r="E659" s="33"/>
      <c r="F659" s="33"/>
      <c r="G659" s="33"/>
    </row>
    <row r="660" spans="5:7" ht="13" x14ac:dyDescent="0.15">
      <c r="E660" s="33"/>
      <c r="F660" s="33"/>
      <c r="G660" s="33"/>
    </row>
    <row r="661" spans="5:7" ht="13" x14ac:dyDescent="0.15">
      <c r="E661" s="33"/>
      <c r="F661" s="33"/>
      <c r="G661" s="33"/>
    </row>
    <row r="662" spans="5:7" ht="13" x14ac:dyDescent="0.15">
      <c r="E662" s="33"/>
      <c r="F662" s="33"/>
      <c r="G662" s="33"/>
    </row>
    <row r="663" spans="5:7" ht="13" x14ac:dyDescent="0.15">
      <c r="E663" s="33"/>
      <c r="F663" s="33"/>
      <c r="G663" s="33"/>
    </row>
    <row r="664" spans="5:7" ht="13" x14ac:dyDescent="0.15">
      <c r="E664" s="33"/>
      <c r="F664" s="33"/>
      <c r="G664" s="33"/>
    </row>
    <row r="665" spans="5:7" ht="13" x14ac:dyDescent="0.15">
      <c r="E665" s="33"/>
      <c r="F665" s="33"/>
      <c r="G665" s="33"/>
    </row>
    <row r="666" spans="5:7" ht="13" x14ac:dyDescent="0.15">
      <c r="E666" s="33"/>
      <c r="F666" s="33"/>
      <c r="G666" s="33"/>
    </row>
    <row r="667" spans="5:7" ht="13" x14ac:dyDescent="0.15">
      <c r="E667" s="33"/>
      <c r="F667" s="33"/>
      <c r="G667" s="33"/>
    </row>
    <row r="668" spans="5:7" ht="13" x14ac:dyDescent="0.15">
      <c r="E668" s="33"/>
      <c r="F668" s="33"/>
      <c r="G668" s="33"/>
    </row>
    <row r="669" spans="5:7" ht="13" x14ac:dyDescent="0.15">
      <c r="E669" s="33"/>
      <c r="F669" s="33"/>
      <c r="G669" s="33"/>
    </row>
    <row r="670" spans="5:7" ht="13" x14ac:dyDescent="0.15">
      <c r="E670" s="33"/>
      <c r="F670" s="33"/>
      <c r="G670" s="33"/>
    </row>
    <row r="671" spans="5:7" ht="13" x14ac:dyDescent="0.15">
      <c r="E671" s="33"/>
      <c r="F671" s="33"/>
      <c r="G671" s="33"/>
    </row>
    <row r="672" spans="5:7" ht="13" x14ac:dyDescent="0.15">
      <c r="E672" s="33"/>
      <c r="F672" s="33"/>
      <c r="G672" s="33"/>
    </row>
    <row r="673" spans="5:7" ht="13" x14ac:dyDescent="0.15">
      <c r="E673" s="33"/>
      <c r="F673" s="33"/>
      <c r="G673" s="33"/>
    </row>
    <row r="674" spans="5:7" ht="13" x14ac:dyDescent="0.15">
      <c r="E674" s="33"/>
      <c r="F674" s="33"/>
      <c r="G674" s="33"/>
    </row>
    <row r="675" spans="5:7" ht="13" x14ac:dyDescent="0.15">
      <c r="E675" s="33"/>
      <c r="F675" s="33"/>
      <c r="G675" s="33"/>
    </row>
    <row r="676" spans="5:7" ht="13" x14ac:dyDescent="0.15">
      <c r="E676" s="33"/>
      <c r="F676" s="33"/>
      <c r="G676" s="33"/>
    </row>
    <row r="677" spans="5:7" ht="13" x14ac:dyDescent="0.15">
      <c r="E677" s="33"/>
      <c r="F677" s="33"/>
      <c r="G677" s="33"/>
    </row>
    <row r="678" spans="5:7" ht="13" x14ac:dyDescent="0.15">
      <c r="E678" s="33"/>
      <c r="F678" s="33"/>
      <c r="G678" s="33"/>
    </row>
    <row r="679" spans="5:7" ht="13" x14ac:dyDescent="0.15">
      <c r="E679" s="33"/>
      <c r="F679" s="33"/>
      <c r="G679" s="33"/>
    </row>
    <row r="680" spans="5:7" ht="13" x14ac:dyDescent="0.15">
      <c r="E680" s="33"/>
      <c r="F680" s="33"/>
      <c r="G680" s="33"/>
    </row>
    <row r="681" spans="5:7" ht="13" x14ac:dyDescent="0.15">
      <c r="E681" s="33"/>
      <c r="F681" s="33"/>
      <c r="G681" s="33"/>
    </row>
    <row r="682" spans="5:7" ht="13" x14ac:dyDescent="0.15">
      <c r="E682" s="33"/>
      <c r="F682" s="33"/>
      <c r="G682" s="33"/>
    </row>
    <row r="683" spans="5:7" ht="13" x14ac:dyDescent="0.15">
      <c r="E683" s="33"/>
      <c r="F683" s="33"/>
      <c r="G683" s="33"/>
    </row>
    <row r="684" spans="5:7" ht="13" x14ac:dyDescent="0.15">
      <c r="E684" s="33"/>
      <c r="F684" s="33"/>
      <c r="G684" s="33"/>
    </row>
    <row r="685" spans="5:7" ht="13" x14ac:dyDescent="0.15">
      <c r="E685" s="33"/>
      <c r="F685" s="33"/>
      <c r="G685" s="33"/>
    </row>
    <row r="686" spans="5:7" ht="13" x14ac:dyDescent="0.15">
      <c r="E686" s="33"/>
      <c r="F686" s="33"/>
      <c r="G686" s="33"/>
    </row>
    <row r="687" spans="5:7" ht="13" x14ac:dyDescent="0.15">
      <c r="E687" s="33"/>
      <c r="F687" s="33"/>
      <c r="G687" s="33"/>
    </row>
    <row r="688" spans="5:7" ht="13" x14ac:dyDescent="0.15">
      <c r="E688" s="33"/>
      <c r="F688" s="33"/>
      <c r="G688" s="33"/>
    </row>
    <row r="689" spans="5:7" ht="13" x14ac:dyDescent="0.15">
      <c r="E689" s="33"/>
      <c r="F689" s="33"/>
      <c r="G689" s="33"/>
    </row>
    <row r="690" spans="5:7" ht="13" x14ac:dyDescent="0.15">
      <c r="E690" s="33"/>
      <c r="F690" s="33"/>
      <c r="G690" s="33"/>
    </row>
    <row r="691" spans="5:7" ht="13" x14ac:dyDescent="0.15">
      <c r="E691" s="33"/>
      <c r="F691" s="33"/>
      <c r="G691" s="33"/>
    </row>
    <row r="692" spans="5:7" ht="13" x14ac:dyDescent="0.15">
      <c r="E692" s="33"/>
      <c r="F692" s="33"/>
      <c r="G692" s="33"/>
    </row>
    <row r="693" spans="5:7" ht="13" x14ac:dyDescent="0.15">
      <c r="E693" s="33"/>
      <c r="F693" s="33"/>
      <c r="G693" s="33"/>
    </row>
    <row r="694" spans="5:7" ht="13" x14ac:dyDescent="0.15">
      <c r="E694" s="33"/>
      <c r="F694" s="33"/>
      <c r="G694" s="33"/>
    </row>
    <row r="695" spans="5:7" ht="13" x14ac:dyDescent="0.15">
      <c r="E695" s="33"/>
      <c r="F695" s="33"/>
      <c r="G695" s="33"/>
    </row>
    <row r="696" spans="5:7" ht="13" x14ac:dyDescent="0.15">
      <c r="E696" s="33"/>
      <c r="F696" s="33"/>
      <c r="G696" s="33"/>
    </row>
    <row r="697" spans="5:7" ht="13" x14ac:dyDescent="0.15">
      <c r="E697" s="33"/>
      <c r="F697" s="33"/>
      <c r="G697" s="33"/>
    </row>
    <row r="698" spans="5:7" ht="13" x14ac:dyDescent="0.15">
      <c r="E698" s="33"/>
      <c r="F698" s="33"/>
      <c r="G698" s="33"/>
    </row>
    <row r="699" spans="5:7" ht="13" x14ac:dyDescent="0.15">
      <c r="E699" s="33"/>
      <c r="F699" s="33"/>
      <c r="G699" s="33"/>
    </row>
    <row r="700" spans="5:7" ht="13" x14ac:dyDescent="0.15">
      <c r="E700" s="33"/>
      <c r="F700" s="33"/>
      <c r="G700" s="33"/>
    </row>
    <row r="701" spans="5:7" ht="13" x14ac:dyDescent="0.15">
      <c r="E701" s="33"/>
      <c r="F701" s="33"/>
      <c r="G701" s="33"/>
    </row>
    <row r="702" spans="5:7" ht="13" x14ac:dyDescent="0.15">
      <c r="E702" s="33"/>
      <c r="F702" s="33"/>
      <c r="G702" s="33"/>
    </row>
    <row r="703" spans="5:7" ht="13" x14ac:dyDescent="0.15">
      <c r="E703" s="33"/>
      <c r="F703" s="33"/>
      <c r="G703" s="33"/>
    </row>
    <row r="704" spans="5:7" ht="13" x14ac:dyDescent="0.15">
      <c r="E704" s="33"/>
      <c r="F704" s="33"/>
      <c r="G704" s="33"/>
    </row>
    <row r="705" spans="5:7" ht="13" x14ac:dyDescent="0.15">
      <c r="E705" s="33"/>
      <c r="F705" s="33"/>
      <c r="G705" s="33"/>
    </row>
    <row r="706" spans="5:7" ht="13" x14ac:dyDescent="0.15">
      <c r="E706" s="33"/>
      <c r="F706" s="33"/>
      <c r="G706" s="33"/>
    </row>
    <row r="707" spans="5:7" ht="13" x14ac:dyDescent="0.15">
      <c r="E707" s="33"/>
      <c r="F707" s="33"/>
      <c r="G707" s="33"/>
    </row>
    <row r="708" spans="5:7" ht="13" x14ac:dyDescent="0.15">
      <c r="E708" s="33"/>
      <c r="F708" s="33"/>
      <c r="G708" s="33"/>
    </row>
    <row r="709" spans="5:7" ht="13" x14ac:dyDescent="0.15">
      <c r="E709" s="33"/>
      <c r="F709" s="33"/>
      <c r="G709" s="33"/>
    </row>
    <row r="710" spans="5:7" ht="13" x14ac:dyDescent="0.15">
      <c r="E710" s="33"/>
      <c r="F710" s="33"/>
      <c r="G710" s="33"/>
    </row>
    <row r="711" spans="5:7" ht="13" x14ac:dyDescent="0.15">
      <c r="E711" s="33"/>
      <c r="F711" s="33"/>
      <c r="G711" s="33"/>
    </row>
    <row r="712" spans="5:7" ht="13" x14ac:dyDescent="0.15">
      <c r="E712" s="33"/>
      <c r="F712" s="33"/>
      <c r="G712" s="33"/>
    </row>
    <row r="713" spans="5:7" ht="13" x14ac:dyDescent="0.15">
      <c r="E713" s="33"/>
      <c r="F713" s="33"/>
      <c r="G713" s="33"/>
    </row>
    <row r="714" spans="5:7" ht="13" x14ac:dyDescent="0.15">
      <c r="E714" s="33"/>
      <c r="F714" s="33"/>
      <c r="G714" s="33"/>
    </row>
    <row r="715" spans="5:7" ht="13" x14ac:dyDescent="0.15">
      <c r="E715" s="33"/>
      <c r="F715" s="33"/>
      <c r="G715" s="33"/>
    </row>
    <row r="716" spans="5:7" ht="13" x14ac:dyDescent="0.15">
      <c r="E716" s="33"/>
      <c r="F716" s="33"/>
      <c r="G716" s="33"/>
    </row>
    <row r="717" spans="5:7" ht="13" x14ac:dyDescent="0.15">
      <c r="E717" s="33"/>
      <c r="F717" s="33"/>
      <c r="G717" s="33"/>
    </row>
    <row r="718" spans="5:7" ht="13" x14ac:dyDescent="0.15">
      <c r="E718" s="33"/>
      <c r="F718" s="33"/>
      <c r="G718" s="33"/>
    </row>
    <row r="719" spans="5:7" ht="13" x14ac:dyDescent="0.15">
      <c r="E719" s="33"/>
      <c r="F719" s="33"/>
      <c r="G719" s="33"/>
    </row>
    <row r="720" spans="5:7" ht="13" x14ac:dyDescent="0.15">
      <c r="E720" s="33"/>
      <c r="F720" s="33"/>
      <c r="G720" s="33"/>
    </row>
    <row r="721" spans="5:7" ht="13" x14ac:dyDescent="0.15">
      <c r="E721" s="33"/>
      <c r="F721" s="33"/>
      <c r="G721" s="33"/>
    </row>
    <row r="722" spans="5:7" ht="13" x14ac:dyDescent="0.15">
      <c r="E722" s="33"/>
      <c r="F722" s="33"/>
      <c r="G722" s="33"/>
    </row>
    <row r="723" spans="5:7" ht="13" x14ac:dyDescent="0.15">
      <c r="E723" s="33"/>
      <c r="F723" s="33"/>
      <c r="G723" s="33"/>
    </row>
    <row r="724" spans="5:7" ht="13" x14ac:dyDescent="0.15">
      <c r="E724" s="33"/>
      <c r="F724" s="33"/>
      <c r="G724" s="33"/>
    </row>
    <row r="725" spans="5:7" ht="13" x14ac:dyDescent="0.15">
      <c r="E725" s="33"/>
      <c r="F725" s="33"/>
      <c r="G725" s="33"/>
    </row>
    <row r="726" spans="5:7" ht="13" x14ac:dyDescent="0.15">
      <c r="E726" s="33"/>
      <c r="F726" s="33"/>
      <c r="G726" s="33"/>
    </row>
    <row r="727" spans="5:7" ht="13" x14ac:dyDescent="0.15">
      <c r="E727" s="33"/>
      <c r="F727" s="33"/>
      <c r="G727" s="33"/>
    </row>
  </sheetData>
  <conditionalFormatting sqref="E2:G727">
    <cfRule type="cellIs" dxfId="13" priority="1" operator="greaterThan">
      <formula>0</formula>
    </cfRule>
    <cfRule type="cellIs" dxfId="12" priority="2" operator="lessThan">
      <formula>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9" ht="15.75" customHeight="1" x14ac:dyDescent="0.25">
      <c r="A2" s="26" t="s">
        <v>64</v>
      </c>
      <c r="B2" s="1"/>
      <c r="C2" s="1"/>
      <c r="D2" s="1"/>
      <c r="E2" s="10"/>
      <c r="F2" s="10"/>
      <c r="G2" s="10"/>
    </row>
    <row r="3" spans="1:9" ht="15" x14ac:dyDescent="0.2">
      <c r="A3" s="1" t="s">
        <v>58</v>
      </c>
      <c r="B3" s="25" t="s">
        <v>81</v>
      </c>
      <c r="C3" s="1"/>
      <c r="D3" s="1"/>
      <c r="E3" s="10"/>
      <c r="F3" s="10"/>
      <c r="G3" s="10"/>
      <c r="H3" s="30"/>
      <c r="I3" s="30"/>
    </row>
    <row r="4" spans="1:9" ht="15" x14ac:dyDescent="0.2">
      <c r="A4" s="1"/>
      <c r="B4" s="1"/>
      <c r="C4" s="1" t="s">
        <v>83</v>
      </c>
      <c r="D4" s="134">
        <v>7691</v>
      </c>
      <c r="E4" s="10">
        <v>0</v>
      </c>
      <c r="F4" s="10">
        <v>-300</v>
      </c>
      <c r="G4" s="10">
        <v>0</v>
      </c>
      <c r="H4" s="30"/>
      <c r="I4" s="30"/>
    </row>
    <row r="5" spans="1:9" ht="15" x14ac:dyDescent="0.2">
      <c r="A5" s="1"/>
      <c r="B5" s="1"/>
      <c r="C5" s="1"/>
      <c r="D5" s="1"/>
      <c r="E5" s="10"/>
      <c r="F5" s="10"/>
      <c r="G5" s="10"/>
      <c r="H5" s="30"/>
      <c r="I5" s="30"/>
    </row>
    <row r="6" spans="1:9" ht="15" x14ac:dyDescent="0.2">
      <c r="A6" s="1"/>
      <c r="B6" s="1"/>
      <c r="C6" s="25" t="s">
        <v>80</v>
      </c>
      <c r="D6" s="1"/>
      <c r="E6" s="10">
        <f t="shared" ref="E6:G6" si="0">SUM(E4)</f>
        <v>0</v>
      </c>
      <c r="F6" s="10">
        <f t="shared" si="0"/>
        <v>-300</v>
      </c>
      <c r="G6" s="10">
        <f t="shared" si="0"/>
        <v>0</v>
      </c>
      <c r="H6" s="30"/>
      <c r="I6" s="30"/>
    </row>
    <row r="7" spans="1:9" ht="15" x14ac:dyDescent="0.2">
      <c r="A7" s="1"/>
      <c r="B7" s="1"/>
      <c r="C7" s="1"/>
      <c r="D7" s="1"/>
      <c r="E7" s="10"/>
      <c r="F7" s="10"/>
      <c r="G7" s="10"/>
      <c r="H7" s="30"/>
      <c r="I7" s="30"/>
    </row>
    <row r="8" spans="1:9" ht="14" x14ac:dyDescent="0.2">
      <c r="C8" s="25" t="s">
        <v>102</v>
      </c>
      <c r="D8" s="1"/>
      <c r="E8" s="8">
        <f t="shared" ref="E8:F8" si="1">SUMIFS(E2:E7,$C2:$C7,"Subsubtotal")</f>
        <v>0</v>
      </c>
      <c r="F8" s="8">
        <f t="shared" si="1"/>
        <v>-300</v>
      </c>
      <c r="G8" s="10">
        <f>SUM(G2:G7)</f>
        <v>0</v>
      </c>
    </row>
    <row r="9" spans="1:9" ht="15.75" customHeight="1" x14ac:dyDescent="0.15">
      <c r="E9" s="33"/>
      <c r="F9" s="33"/>
      <c r="G9" s="33"/>
    </row>
  </sheetData>
  <conditionalFormatting sqref="E1:G10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I10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9" ht="15.75" customHeight="1" x14ac:dyDescent="0.25">
      <c r="A2" s="26" t="s">
        <v>65</v>
      </c>
      <c r="B2" s="1"/>
      <c r="C2" s="1"/>
      <c r="D2" s="1"/>
      <c r="E2" s="10"/>
      <c r="F2" s="10"/>
      <c r="G2" s="10"/>
    </row>
    <row r="3" spans="1:9" ht="15" x14ac:dyDescent="0.2">
      <c r="A3" s="1" t="s">
        <v>58</v>
      </c>
      <c r="B3" s="25" t="s">
        <v>81</v>
      </c>
      <c r="C3" s="1"/>
      <c r="D3" s="1"/>
      <c r="E3" s="10"/>
      <c r="F3" s="10"/>
      <c r="G3" s="10"/>
      <c r="H3" s="30"/>
      <c r="I3" s="30"/>
    </row>
    <row r="4" spans="1:9" ht="15" x14ac:dyDescent="0.2">
      <c r="A4" s="1"/>
      <c r="B4" s="1"/>
      <c r="C4" s="1" t="s">
        <v>83</v>
      </c>
      <c r="D4" s="1">
        <v>7691</v>
      </c>
      <c r="E4" s="10">
        <v>0</v>
      </c>
      <c r="F4" s="10">
        <v>-450</v>
      </c>
      <c r="G4" s="10"/>
      <c r="H4" s="30"/>
      <c r="I4" s="30"/>
    </row>
    <row r="5" spans="1:9" ht="15" x14ac:dyDescent="0.2">
      <c r="A5" s="1"/>
      <c r="B5" s="1"/>
      <c r="C5" s="1" t="s">
        <v>82</v>
      </c>
      <c r="D5" s="1">
        <v>7631</v>
      </c>
      <c r="E5" s="10">
        <v>0</v>
      </c>
      <c r="F5" s="10">
        <v>-750</v>
      </c>
      <c r="G5" s="10"/>
      <c r="H5" s="30"/>
      <c r="I5" s="30"/>
    </row>
    <row r="6" spans="1:9" ht="15" x14ac:dyDescent="0.2">
      <c r="A6" s="1"/>
      <c r="B6" s="1"/>
      <c r="C6" s="1"/>
      <c r="D6" s="1"/>
      <c r="E6" s="10"/>
      <c r="F6" s="10"/>
      <c r="G6" s="10"/>
      <c r="H6" s="30"/>
      <c r="I6" s="30"/>
    </row>
    <row r="7" spans="1:9" ht="15" x14ac:dyDescent="0.2">
      <c r="A7" s="1"/>
      <c r="B7" s="1"/>
      <c r="C7" s="25" t="s">
        <v>80</v>
      </c>
      <c r="D7" s="1"/>
      <c r="E7" s="10">
        <f t="shared" ref="E7:F7" si="0">SUM(E4:E5)</f>
        <v>0</v>
      </c>
      <c r="F7" s="10">
        <f t="shared" si="0"/>
        <v>-1200</v>
      </c>
      <c r="G7" s="10">
        <f>E7+F7</f>
        <v>-1200</v>
      </c>
      <c r="H7" s="30"/>
      <c r="I7" s="30"/>
    </row>
    <row r="8" spans="1:9" ht="15" x14ac:dyDescent="0.2">
      <c r="A8" s="1"/>
      <c r="B8" s="1"/>
      <c r="C8" s="1"/>
      <c r="D8" s="1"/>
      <c r="E8" s="10"/>
      <c r="F8" s="10"/>
      <c r="G8" s="10"/>
      <c r="H8" s="30"/>
      <c r="I8" s="30"/>
    </row>
    <row r="9" spans="1:9" ht="14" x14ac:dyDescent="0.2">
      <c r="C9" s="25" t="s">
        <v>102</v>
      </c>
      <c r="D9" s="1"/>
      <c r="E9" s="8">
        <f t="shared" ref="E9:F9" si="1">SUMIFS(E2:E8,$C2:$C8,"Subsubtotal")</f>
        <v>0</v>
      </c>
      <c r="F9" s="31">
        <f t="shared" si="1"/>
        <v>-1200</v>
      </c>
      <c r="G9" s="10">
        <f>SUM(G2:G8)</f>
        <v>-1200</v>
      </c>
    </row>
    <row r="10" spans="1:9" ht="15.75" customHeight="1" x14ac:dyDescent="0.15">
      <c r="E10" s="33"/>
      <c r="F10" s="33"/>
      <c r="G10" s="33"/>
    </row>
  </sheetData>
  <conditionalFormatting sqref="E2:G10">
    <cfRule type="cellIs" dxfId="9" priority="1" operator="greaterThan">
      <formula>0</formula>
    </cfRule>
    <cfRule type="cellIs" dxfId="8" priority="2" operator="lessThan">
      <formula>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J10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10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10" ht="15.75" customHeight="1" x14ac:dyDescent="0.25">
      <c r="A2" s="26" t="s">
        <v>62</v>
      </c>
      <c r="B2" s="1"/>
      <c r="C2" s="1"/>
      <c r="D2" s="1"/>
      <c r="E2" s="10"/>
      <c r="F2" s="10"/>
      <c r="G2" s="10"/>
    </row>
    <row r="3" spans="1:10" ht="15" x14ac:dyDescent="0.2">
      <c r="A3" s="1" t="s">
        <v>58</v>
      </c>
      <c r="B3" s="25" t="s">
        <v>77</v>
      </c>
      <c r="C3" s="1"/>
      <c r="D3" s="1"/>
      <c r="E3" s="10"/>
      <c r="F3" s="10"/>
      <c r="G3" s="10"/>
      <c r="H3" s="30"/>
      <c r="I3" s="30"/>
      <c r="J3" s="30"/>
    </row>
    <row r="4" spans="1:10" ht="15" x14ac:dyDescent="0.2">
      <c r="A4" s="1"/>
      <c r="B4" s="1"/>
      <c r="C4" s="1" t="s">
        <v>849</v>
      </c>
      <c r="D4" s="1">
        <v>4045</v>
      </c>
      <c r="E4" s="62">
        <v>0</v>
      </c>
      <c r="F4" s="62">
        <v>-1000</v>
      </c>
      <c r="G4" s="10"/>
      <c r="H4" s="30"/>
      <c r="I4" s="30"/>
      <c r="J4" s="30"/>
    </row>
    <row r="5" spans="1:10" ht="15" x14ac:dyDescent="0.2">
      <c r="A5" s="1"/>
      <c r="B5" s="1"/>
      <c r="C5" s="1" t="s">
        <v>850</v>
      </c>
      <c r="D5" s="1">
        <v>5060</v>
      </c>
      <c r="E5" s="10">
        <v>0</v>
      </c>
      <c r="F5" s="10">
        <v>-1000</v>
      </c>
      <c r="G5" s="10"/>
      <c r="H5" s="30"/>
      <c r="I5" s="30"/>
      <c r="J5" s="30"/>
    </row>
    <row r="6" spans="1:10" ht="15" x14ac:dyDescent="0.2">
      <c r="A6" s="1"/>
      <c r="B6" s="1"/>
      <c r="C6" s="1"/>
      <c r="D6" s="1"/>
      <c r="E6" s="10"/>
      <c r="F6" s="10"/>
      <c r="G6" s="10"/>
      <c r="H6" s="30"/>
      <c r="I6" s="30"/>
      <c r="J6" s="30"/>
    </row>
    <row r="7" spans="1:10" ht="15" x14ac:dyDescent="0.2">
      <c r="A7" s="1"/>
      <c r="B7" s="1"/>
      <c r="C7" s="25" t="s">
        <v>80</v>
      </c>
      <c r="D7" s="1"/>
      <c r="E7" s="62">
        <f t="shared" ref="E7:F7" si="0">SUM(E2:E6)</f>
        <v>0</v>
      </c>
      <c r="F7" s="62">
        <f t="shared" si="0"/>
        <v>-2000</v>
      </c>
      <c r="G7" s="62">
        <f>E7+F7</f>
        <v>-2000</v>
      </c>
      <c r="H7" s="30"/>
      <c r="I7" s="30"/>
      <c r="J7" s="30"/>
    </row>
    <row r="8" spans="1:10" ht="15" x14ac:dyDescent="0.2">
      <c r="A8" s="1"/>
      <c r="B8" s="1"/>
      <c r="C8" s="1"/>
      <c r="D8" s="1"/>
      <c r="E8" s="10"/>
      <c r="F8" s="10"/>
      <c r="G8" s="10"/>
      <c r="H8" s="30"/>
      <c r="I8" s="30"/>
      <c r="J8" s="30"/>
    </row>
    <row r="9" spans="1:10" ht="14" x14ac:dyDescent="0.2">
      <c r="C9" s="25" t="s">
        <v>102</v>
      </c>
      <c r="D9" s="1"/>
      <c r="E9" s="8">
        <f t="shared" ref="E9:F9" si="1">SUMIFS(E2:E8,$C2:$C8,"Subsubtotal")</f>
        <v>0</v>
      </c>
      <c r="F9" s="31">
        <f t="shared" si="1"/>
        <v>-2000</v>
      </c>
      <c r="G9" s="10">
        <f>SUM(G2:G8)</f>
        <v>-2000</v>
      </c>
    </row>
    <row r="10" spans="1:10" ht="15.75" customHeight="1" x14ac:dyDescent="0.15">
      <c r="E10" s="33"/>
      <c r="F10" s="33"/>
      <c r="G10" s="33"/>
    </row>
  </sheetData>
  <conditionalFormatting sqref="E2:G10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9" ht="15.75" customHeight="1" x14ac:dyDescent="0.25">
      <c r="A2" s="26" t="s">
        <v>63</v>
      </c>
      <c r="B2" s="1"/>
      <c r="C2" s="1"/>
      <c r="D2" s="1"/>
      <c r="E2" s="10"/>
      <c r="F2" s="10"/>
      <c r="G2" s="10"/>
    </row>
    <row r="3" spans="1:9" ht="15" x14ac:dyDescent="0.2">
      <c r="A3" s="1" t="s">
        <v>58</v>
      </c>
      <c r="B3" s="25" t="s">
        <v>81</v>
      </c>
      <c r="C3" s="1"/>
      <c r="D3" s="1"/>
      <c r="E3" s="10"/>
      <c r="F3" s="10"/>
      <c r="G3" s="10"/>
      <c r="H3" s="30"/>
      <c r="I3" s="30"/>
    </row>
    <row r="4" spans="1:9" ht="15" x14ac:dyDescent="0.2">
      <c r="A4" s="1"/>
      <c r="B4" s="1"/>
      <c r="C4" s="1" t="s">
        <v>82</v>
      </c>
      <c r="D4" s="1">
        <v>7631</v>
      </c>
      <c r="E4" s="10">
        <v>0</v>
      </c>
      <c r="F4" s="10">
        <v>-1500</v>
      </c>
      <c r="G4" s="10">
        <v>0</v>
      </c>
      <c r="H4" s="30"/>
      <c r="I4" s="30"/>
    </row>
    <row r="5" spans="1:9" ht="15" x14ac:dyDescent="0.2">
      <c r="A5" s="1"/>
      <c r="B5" s="1"/>
      <c r="C5" s="1"/>
      <c r="D5" s="1"/>
      <c r="E5" s="10"/>
      <c r="F5" s="10"/>
      <c r="G5" s="10"/>
      <c r="H5" s="30"/>
      <c r="I5" s="30"/>
    </row>
    <row r="6" spans="1:9" ht="14" x14ac:dyDescent="0.2">
      <c r="C6" s="25" t="s">
        <v>80</v>
      </c>
      <c r="D6" s="1"/>
      <c r="E6" s="10">
        <f t="shared" ref="E6:G6" si="0">SUM(E4)</f>
        <v>0</v>
      </c>
      <c r="F6" s="10">
        <f t="shared" si="0"/>
        <v>-1500</v>
      </c>
      <c r="G6" s="10">
        <f t="shared" si="0"/>
        <v>0</v>
      </c>
    </row>
    <row r="7" spans="1:9" ht="14" x14ac:dyDescent="0.2">
      <c r="C7" s="1"/>
      <c r="D7" s="1"/>
      <c r="E7" s="10"/>
      <c r="F7" s="10"/>
      <c r="G7" s="10"/>
    </row>
    <row r="8" spans="1:9" ht="14" x14ac:dyDescent="0.2">
      <c r="C8" s="25" t="s">
        <v>102</v>
      </c>
      <c r="D8" s="1"/>
      <c r="E8" s="8">
        <f t="shared" ref="E8:F8" si="1">SUMIFS(E3:E7,$C3:$C7,"Subsubtotal")</f>
        <v>0</v>
      </c>
      <c r="F8" s="8">
        <f t="shared" si="1"/>
        <v>-1500</v>
      </c>
      <c r="G8" s="10">
        <f>SUM(G3:G7)</f>
        <v>0</v>
      </c>
    </row>
    <row r="9" spans="1:9" ht="14" x14ac:dyDescent="0.2">
      <c r="C9" s="25"/>
      <c r="D9" s="1"/>
      <c r="E9" s="8"/>
      <c r="F9" s="8"/>
      <c r="G9" s="10"/>
    </row>
  </sheetData>
  <conditionalFormatting sqref="E2:G9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I31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9" ht="15.75" customHeight="1" x14ac:dyDescent="0.25">
      <c r="A2" s="26" t="s">
        <v>851</v>
      </c>
      <c r="B2" s="1"/>
      <c r="C2" s="1"/>
      <c r="D2" s="1"/>
      <c r="E2" s="10"/>
      <c r="F2" s="10"/>
      <c r="G2" s="10"/>
    </row>
    <row r="3" spans="1:9" ht="15" x14ac:dyDescent="0.2">
      <c r="A3" s="1" t="s">
        <v>58</v>
      </c>
      <c r="B3" s="25" t="s">
        <v>852</v>
      </c>
      <c r="C3" s="1"/>
      <c r="D3" s="1"/>
      <c r="E3" s="10"/>
      <c r="F3" s="10"/>
      <c r="G3" s="10"/>
      <c r="H3" s="30"/>
      <c r="I3" s="30"/>
    </row>
    <row r="4" spans="1:9" ht="15" x14ac:dyDescent="0.2">
      <c r="A4" s="1"/>
      <c r="B4" s="1"/>
      <c r="C4" s="1" t="s">
        <v>853</v>
      </c>
      <c r="D4" s="1"/>
      <c r="E4" s="10">
        <v>0</v>
      </c>
      <c r="F4" s="10">
        <v>-10000</v>
      </c>
      <c r="G4" s="10"/>
      <c r="H4" s="30"/>
      <c r="I4" s="30"/>
    </row>
    <row r="5" spans="1:9" ht="15" x14ac:dyDescent="0.2">
      <c r="A5" s="1"/>
      <c r="B5" s="1"/>
      <c r="C5" s="1"/>
      <c r="D5" s="1"/>
      <c r="E5" s="10"/>
      <c r="F5" s="10"/>
      <c r="G5" s="10"/>
      <c r="H5" s="30"/>
      <c r="I5" s="30"/>
    </row>
    <row r="6" spans="1:9" ht="15" x14ac:dyDescent="0.2">
      <c r="A6" s="1"/>
      <c r="B6" s="1"/>
      <c r="C6" s="25" t="s">
        <v>80</v>
      </c>
      <c r="D6" s="1"/>
      <c r="E6" s="10">
        <f t="shared" ref="E6:F6" si="0">SUM(E4:E5)</f>
        <v>0</v>
      </c>
      <c r="F6" s="10">
        <f t="shared" si="0"/>
        <v>-10000</v>
      </c>
      <c r="G6" s="10">
        <f>E6+F6</f>
        <v>-10000</v>
      </c>
      <c r="H6" s="30"/>
      <c r="I6" s="30"/>
    </row>
    <row r="7" spans="1:9" ht="15" x14ac:dyDescent="0.2">
      <c r="A7" s="1"/>
      <c r="B7" s="1"/>
      <c r="C7" s="1"/>
      <c r="D7" s="1"/>
      <c r="E7" s="10"/>
      <c r="F7" s="10"/>
      <c r="G7" s="10"/>
      <c r="H7" s="30"/>
      <c r="I7" s="30"/>
    </row>
    <row r="8" spans="1:9" ht="15" x14ac:dyDescent="0.2">
      <c r="A8" s="1"/>
      <c r="B8" s="25" t="s">
        <v>854</v>
      </c>
      <c r="C8" s="1"/>
      <c r="D8" s="1"/>
      <c r="E8" s="10"/>
      <c r="F8" s="10"/>
      <c r="G8" s="10"/>
      <c r="H8" s="30"/>
      <c r="I8" s="30"/>
    </row>
    <row r="9" spans="1:9" ht="15" x14ac:dyDescent="0.2">
      <c r="A9" s="1"/>
      <c r="B9" s="1"/>
      <c r="C9" s="1" t="s">
        <v>855</v>
      </c>
      <c r="D9" s="1"/>
      <c r="E9" s="10">
        <v>0</v>
      </c>
      <c r="F9" s="10">
        <v>-10000</v>
      </c>
      <c r="G9" s="10"/>
      <c r="H9" s="30"/>
      <c r="I9" s="30"/>
    </row>
    <row r="10" spans="1:9" ht="15" x14ac:dyDescent="0.2">
      <c r="A10" s="1"/>
      <c r="B10" s="1"/>
      <c r="C10" s="1"/>
      <c r="D10" s="1"/>
      <c r="E10" s="10"/>
      <c r="F10" s="10"/>
      <c r="G10" s="10"/>
      <c r="H10" s="30"/>
      <c r="I10" s="30"/>
    </row>
    <row r="11" spans="1:9" ht="15" x14ac:dyDescent="0.2">
      <c r="A11" s="1"/>
      <c r="B11" s="1"/>
      <c r="C11" s="25" t="s">
        <v>80</v>
      </c>
      <c r="D11" s="1"/>
      <c r="E11" s="10">
        <f t="shared" ref="E11:F11" si="1">SUM(E9:E10)</f>
        <v>0</v>
      </c>
      <c r="F11" s="10">
        <f t="shared" si="1"/>
        <v>-10000</v>
      </c>
      <c r="G11" s="10">
        <f>E11+F11</f>
        <v>-10000</v>
      </c>
      <c r="H11" s="30"/>
      <c r="I11" s="30"/>
    </row>
    <row r="12" spans="1:9" ht="15" x14ac:dyDescent="0.2">
      <c r="A12" s="1"/>
      <c r="B12" s="1"/>
      <c r="C12" s="1"/>
      <c r="D12" s="1"/>
      <c r="E12" s="10"/>
      <c r="F12" s="10"/>
      <c r="G12" s="10"/>
      <c r="H12" s="30"/>
      <c r="I12" s="30"/>
    </row>
    <row r="13" spans="1:9" ht="15" x14ac:dyDescent="0.2">
      <c r="A13" s="1"/>
      <c r="B13" s="25" t="s">
        <v>856</v>
      </c>
      <c r="C13" s="1"/>
      <c r="D13" s="1"/>
      <c r="E13" s="10"/>
      <c r="F13" s="10"/>
      <c r="G13" s="10"/>
      <c r="H13" s="30"/>
      <c r="I13" s="30"/>
    </row>
    <row r="14" spans="1:9" ht="15" x14ac:dyDescent="0.2">
      <c r="A14" s="1"/>
      <c r="B14" s="1"/>
      <c r="C14" s="1" t="s">
        <v>857</v>
      </c>
      <c r="D14" s="1"/>
      <c r="E14" s="10">
        <v>0</v>
      </c>
      <c r="F14" s="10">
        <v>-10000</v>
      </c>
      <c r="G14" s="10"/>
      <c r="H14" s="30"/>
      <c r="I14" s="30"/>
    </row>
    <row r="15" spans="1:9" ht="15" x14ac:dyDescent="0.2">
      <c r="A15" s="1"/>
      <c r="B15" s="1"/>
      <c r="C15" s="1"/>
      <c r="D15" s="1"/>
      <c r="E15" s="10"/>
      <c r="F15" s="10"/>
      <c r="G15" s="10"/>
      <c r="H15" s="30"/>
      <c r="I15" s="30"/>
    </row>
    <row r="16" spans="1:9" ht="15" x14ac:dyDescent="0.2">
      <c r="A16" s="1"/>
      <c r="B16" s="1"/>
      <c r="C16" s="25" t="s">
        <v>80</v>
      </c>
      <c r="D16" s="1"/>
      <c r="E16" s="10">
        <f t="shared" ref="E16:F16" si="2">SUM(E14:E15)</f>
        <v>0</v>
      </c>
      <c r="F16" s="10">
        <f t="shared" si="2"/>
        <v>-10000</v>
      </c>
      <c r="G16" s="10">
        <f>E16+F16</f>
        <v>-10000</v>
      </c>
      <c r="H16" s="30"/>
      <c r="I16" s="30"/>
    </row>
    <row r="17" spans="1:9" ht="15" x14ac:dyDescent="0.2">
      <c r="A17" s="1"/>
      <c r="B17" s="1"/>
      <c r="C17" s="1"/>
      <c r="D17" s="1"/>
      <c r="E17" s="10"/>
      <c r="F17" s="10"/>
      <c r="G17" s="10"/>
      <c r="H17" s="30"/>
      <c r="I17" s="30"/>
    </row>
    <row r="18" spans="1:9" ht="15" x14ac:dyDescent="0.2">
      <c r="A18" s="1"/>
      <c r="B18" s="25" t="s">
        <v>858</v>
      </c>
      <c r="C18" s="1"/>
      <c r="D18" s="1"/>
      <c r="E18" s="10"/>
      <c r="F18" s="10"/>
      <c r="G18" s="10"/>
      <c r="H18" s="30"/>
      <c r="I18" s="30"/>
    </row>
    <row r="19" spans="1:9" ht="15" x14ac:dyDescent="0.2">
      <c r="A19" s="1"/>
      <c r="B19" s="1"/>
      <c r="C19" s="1" t="s">
        <v>859</v>
      </c>
      <c r="D19" s="1"/>
      <c r="E19" s="10">
        <v>0</v>
      </c>
      <c r="F19" s="10">
        <v>-10000</v>
      </c>
      <c r="G19" s="10"/>
      <c r="H19" s="30"/>
      <c r="I19" s="30"/>
    </row>
    <row r="20" spans="1:9" ht="15" x14ac:dyDescent="0.2">
      <c r="A20" s="1"/>
      <c r="B20" s="1"/>
      <c r="C20" s="1"/>
      <c r="D20" s="1"/>
      <c r="E20" s="10"/>
      <c r="F20" s="10"/>
      <c r="G20" s="10"/>
      <c r="H20" s="30"/>
      <c r="I20" s="30"/>
    </row>
    <row r="21" spans="1:9" ht="15" x14ac:dyDescent="0.2">
      <c r="A21" s="1"/>
      <c r="B21" s="1"/>
      <c r="C21" s="25" t="s">
        <v>80</v>
      </c>
      <c r="D21" s="1"/>
      <c r="E21" s="10">
        <f t="shared" ref="E21:F21" si="3">SUM(E19:E20)</f>
        <v>0</v>
      </c>
      <c r="F21" s="10">
        <f t="shared" si="3"/>
        <v>-10000</v>
      </c>
      <c r="G21" s="10">
        <f>E21+F21</f>
        <v>-10000</v>
      </c>
      <c r="H21" s="30"/>
      <c r="I21" s="30"/>
    </row>
    <row r="22" spans="1:9" ht="15" x14ac:dyDescent="0.2">
      <c r="A22" s="1"/>
      <c r="B22" s="1"/>
      <c r="C22" s="1"/>
      <c r="D22" s="1"/>
      <c r="E22" s="10"/>
      <c r="F22" s="10"/>
      <c r="G22" s="10"/>
      <c r="H22" s="30"/>
      <c r="I22" s="30"/>
    </row>
    <row r="23" spans="1:9" ht="14" x14ac:dyDescent="0.2">
      <c r="A23" s="56"/>
      <c r="B23" s="25" t="s">
        <v>307</v>
      </c>
      <c r="C23" s="56"/>
      <c r="D23" s="56"/>
      <c r="E23" s="57"/>
      <c r="F23" s="57"/>
      <c r="G23" s="57"/>
      <c r="H23" s="56"/>
      <c r="I23" s="56"/>
    </row>
    <row r="24" spans="1:9" ht="15" x14ac:dyDescent="0.2">
      <c r="A24" s="56"/>
      <c r="B24" s="56"/>
      <c r="C24" s="1" t="s">
        <v>860</v>
      </c>
      <c r="D24" s="56"/>
      <c r="E24" s="62">
        <v>0</v>
      </c>
      <c r="F24" s="63">
        <v>-10000</v>
      </c>
      <c r="G24" s="57"/>
      <c r="H24" s="56"/>
      <c r="I24" s="36"/>
    </row>
    <row r="25" spans="1:9" ht="15.75" customHeight="1" x14ac:dyDescent="0.15">
      <c r="A25" s="56"/>
      <c r="B25" s="56"/>
      <c r="C25" s="56"/>
      <c r="D25" s="56"/>
      <c r="E25" s="57"/>
      <c r="F25" s="57"/>
      <c r="G25" s="57"/>
      <c r="H25" s="56"/>
      <c r="I25" s="56"/>
    </row>
    <row r="26" spans="1:9" ht="14" x14ac:dyDescent="0.2">
      <c r="A26" s="56"/>
      <c r="B26" s="56"/>
      <c r="C26" s="25" t="s">
        <v>80</v>
      </c>
      <c r="D26" s="56"/>
      <c r="E26" s="62">
        <f t="shared" ref="E26:F26" si="4">SUM(E24:E25)</f>
        <v>0</v>
      </c>
      <c r="F26" s="63">
        <f t="shared" si="4"/>
        <v>-10000</v>
      </c>
      <c r="G26" s="63">
        <f>E26+F26</f>
        <v>-10000</v>
      </c>
      <c r="H26" s="56"/>
      <c r="I26" s="56"/>
    </row>
    <row r="27" spans="1:9" ht="15.75" customHeight="1" x14ac:dyDescent="0.15">
      <c r="A27" s="56"/>
      <c r="B27" s="56"/>
      <c r="C27" s="56"/>
      <c r="D27" s="56"/>
      <c r="E27" s="57"/>
      <c r="F27" s="57"/>
      <c r="G27" s="57"/>
      <c r="H27" s="56"/>
      <c r="I27" s="56"/>
    </row>
    <row r="28" spans="1:9" ht="15" x14ac:dyDescent="0.2">
      <c r="A28" s="1"/>
      <c r="B28" s="1"/>
      <c r="C28" s="1"/>
      <c r="D28" s="1"/>
      <c r="E28" s="10"/>
      <c r="F28" s="10"/>
      <c r="G28" s="10"/>
      <c r="H28" s="30"/>
      <c r="I28" s="30"/>
    </row>
    <row r="29" spans="1:9" ht="15" x14ac:dyDescent="0.2">
      <c r="A29" s="1"/>
      <c r="B29" s="1"/>
      <c r="C29" s="1"/>
      <c r="D29" s="1"/>
      <c r="E29" s="10"/>
      <c r="F29" s="10"/>
      <c r="G29" s="10"/>
      <c r="H29" s="30"/>
      <c r="I29" s="30"/>
    </row>
    <row r="30" spans="1:9" ht="14" x14ac:dyDescent="0.2">
      <c r="C30" s="25" t="s">
        <v>102</v>
      </c>
      <c r="D30" s="1"/>
      <c r="E30" s="8">
        <f>SUMIFS(E2:E12,$C2:$C12,"Subsubtotal")</f>
        <v>0</v>
      </c>
      <c r="F30" s="31">
        <f>SUMIFS(F2:F29,$C2:$C29,"Subsubtotal")</f>
        <v>-50000</v>
      </c>
      <c r="G30" s="10">
        <f>E30+F30</f>
        <v>-50000</v>
      </c>
    </row>
    <row r="31" spans="1:9" ht="15.75" customHeight="1" x14ac:dyDescent="0.15">
      <c r="E31" s="33"/>
      <c r="F31" s="33"/>
      <c r="G31" s="33"/>
    </row>
  </sheetData>
  <conditionalFormatting sqref="E2:G31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25" customWidth="1"/>
    <col min="3" max="3" width="20.6640625" customWidth="1"/>
    <col min="4" max="4" width="10.1640625" customWidth="1"/>
    <col min="5" max="5" width="11.83203125" customWidth="1"/>
    <col min="6" max="6" width="11.6640625" customWidth="1"/>
    <col min="8" max="8" width="15.33203125" customWidth="1"/>
  </cols>
  <sheetData>
    <row r="1" spans="1:9" ht="15.75" customHeight="1" x14ac:dyDescent="0.25">
      <c r="A1" s="26" t="s">
        <v>4</v>
      </c>
      <c r="B1" s="26" t="s">
        <v>72</v>
      </c>
      <c r="C1" s="26" t="s">
        <v>73</v>
      </c>
      <c r="D1" s="27" t="s">
        <v>74</v>
      </c>
      <c r="E1" s="26" t="s">
        <v>5</v>
      </c>
      <c r="F1" s="27" t="s">
        <v>6</v>
      </c>
      <c r="G1" s="26" t="s">
        <v>75</v>
      </c>
      <c r="H1" s="26" t="s">
        <v>2</v>
      </c>
    </row>
    <row r="2" spans="1:9" ht="15.75" customHeight="1" x14ac:dyDescent="0.25">
      <c r="A2" s="26" t="s">
        <v>861</v>
      </c>
      <c r="B2" s="1"/>
      <c r="C2" s="1"/>
      <c r="D2" s="1"/>
      <c r="E2" s="10"/>
      <c r="F2" s="10"/>
      <c r="G2" s="10"/>
    </row>
    <row r="3" spans="1:9" ht="15" x14ac:dyDescent="0.2">
      <c r="A3" s="1" t="s">
        <v>58</v>
      </c>
      <c r="B3" s="25" t="s">
        <v>862</v>
      </c>
      <c r="C3" s="1"/>
      <c r="D3" s="1"/>
      <c r="E3" s="10"/>
      <c r="F3" s="10"/>
      <c r="G3" s="10"/>
      <c r="H3" s="30"/>
      <c r="I3" s="30"/>
    </row>
    <row r="4" spans="1:9" ht="15" x14ac:dyDescent="0.2">
      <c r="A4" s="1"/>
      <c r="B4" s="1"/>
      <c r="C4" s="1" t="s">
        <v>863</v>
      </c>
      <c r="D4" s="1"/>
      <c r="E4" s="10">
        <v>0</v>
      </c>
      <c r="F4" s="10">
        <v>-800</v>
      </c>
      <c r="G4" s="10"/>
      <c r="H4" s="30"/>
      <c r="I4" s="30"/>
    </row>
    <row r="5" spans="1:9" ht="15" x14ac:dyDescent="0.2">
      <c r="A5" s="1"/>
      <c r="B5" s="1"/>
      <c r="C5" s="1"/>
      <c r="D5" s="1"/>
      <c r="E5" s="10"/>
      <c r="F5" s="10"/>
      <c r="G5" s="10"/>
      <c r="H5" s="30"/>
      <c r="I5" s="30"/>
    </row>
    <row r="6" spans="1:9" ht="15" x14ac:dyDescent="0.2">
      <c r="A6" s="1"/>
      <c r="B6" s="1"/>
      <c r="C6" s="25" t="s">
        <v>80</v>
      </c>
      <c r="D6" s="1"/>
      <c r="E6" s="10">
        <f t="shared" ref="E6:F6" si="0">SUM(E4:E5)</f>
        <v>0</v>
      </c>
      <c r="F6" s="10">
        <f t="shared" si="0"/>
        <v>-800</v>
      </c>
      <c r="G6" s="10">
        <f>E6+F6</f>
        <v>-800</v>
      </c>
      <c r="H6" s="30"/>
      <c r="I6" s="30"/>
    </row>
    <row r="7" spans="1:9" ht="15" x14ac:dyDescent="0.2">
      <c r="A7" s="1"/>
      <c r="B7" s="1"/>
      <c r="C7" s="1"/>
      <c r="D7" s="1"/>
      <c r="E7" s="10"/>
      <c r="F7" s="10"/>
      <c r="G7" s="10"/>
      <c r="H7" s="30"/>
      <c r="I7" s="30"/>
    </row>
    <row r="8" spans="1:9" ht="14" x14ac:dyDescent="0.2">
      <c r="C8" s="25" t="s">
        <v>102</v>
      </c>
      <c r="D8" s="1"/>
      <c r="E8" s="8">
        <f t="shared" ref="E8:F8" si="1">SUMIFS(E2:E7,$C2:$C7,"Subsubtotal")</f>
        <v>0</v>
      </c>
      <c r="F8" s="31">
        <f t="shared" si="1"/>
        <v>-800</v>
      </c>
      <c r="G8" s="10">
        <f>SUM(G2:G7)</f>
        <v>-800</v>
      </c>
    </row>
    <row r="9" spans="1:9" ht="15.75" customHeight="1" x14ac:dyDescent="0.15">
      <c r="E9" s="33"/>
      <c r="F9" s="33"/>
      <c r="G9" s="33"/>
    </row>
  </sheetData>
  <conditionalFormatting sqref="E2:G9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Rambudget</vt:lpstr>
      <vt:lpstr>1 - Ada</vt:lpstr>
      <vt:lpstr>3 - Datasladden</vt:lpstr>
      <vt:lpstr>4 - D-Dagen</vt:lpstr>
      <vt:lpstr>5 - DEMON</vt:lpstr>
      <vt:lpstr>6 - DESC</vt:lpstr>
      <vt:lpstr>7 - D-Festeriet</vt:lpstr>
      <vt:lpstr>8 - dJulkalendern</vt:lpstr>
      <vt:lpstr>9 - DKM</vt:lpstr>
      <vt:lpstr>11 - GUDAR</vt:lpstr>
      <vt:lpstr>12 - Idrottsnämnden</vt:lpstr>
      <vt:lpstr>13 - IOR</vt:lpstr>
      <vt:lpstr>14 - IN</vt:lpstr>
      <vt:lpstr>15 - JN</vt:lpstr>
      <vt:lpstr>16 - Kommunikationsgruppen</vt:lpstr>
      <vt:lpstr>17 - MKM</vt:lpstr>
      <vt:lpstr>18 - Mottagningen</vt:lpstr>
      <vt:lpstr>19 - NLG</vt:lpstr>
      <vt:lpstr>20 - Prylmångleriet</vt:lpstr>
      <vt:lpstr>21 - QN</vt:lpstr>
      <vt:lpstr>22 - Redaqtionen</vt:lpstr>
      <vt:lpstr>24 - SLG</vt:lpstr>
      <vt:lpstr>25 - Studienämnden</vt:lpstr>
      <vt:lpstr>26 - Dive</vt:lpstr>
      <vt:lpstr>Datas DansRevolution</vt:lpstr>
      <vt:lpstr>103 - Studs 2025</vt:lpstr>
      <vt:lpstr>109 - METAspexet 2026</vt:lpstr>
      <vt:lpstr>111 - dÅre 2026</vt:lpstr>
      <vt:lpstr>METAcraft</vt:lpstr>
      <vt:lpstr>Bakverket</vt:lpstr>
      <vt:lpstr>Scala</vt:lpstr>
      <vt:lpstr>Tech-i-taka</vt:lpstr>
      <vt:lpstr>Vårbalen 2026</vt:lpstr>
      <vt:lpstr>201 - Centralt</vt:lpstr>
      <vt:lpstr>202 - Beslutspengar - Engångsko</vt:lpstr>
      <vt:lpstr>203 - dFunk</vt:lpstr>
      <vt:lpstr>204 - D-Rektoratet</vt:lpstr>
      <vt:lpstr>205 - Valberedningen</vt:lpstr>
      <vt:lpstr>206 - Revisorerna</vt:lpstr>
      <vt:lpstr>207 - Talmanspresidiet</vt:lpstr>
      <vt:lpstr>208 - Fanbärare</vt:lpstr>
      <vt:lpstr>209 - Kårfullmäktige</vt:lpstr>
      <vt:lpstr>210 - Organ</vt:lpstr>
      <vt:lpstr>211 - Partitioner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Fischer</cp:lastModifiedBy>
  <dcterms:modified xsi:type="dcterms:W3CDTF">2025-11-20T22:21:02Z</dcterms:modified>
</cp:coreProperties>
</file>